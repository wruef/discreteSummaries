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5"/>
  <workbookPr/>
  <mc:AlternateContent xmlns:mc="http://schemas.openxmlformats.org/markup-compatibility/2006">
    <mc:Choice Requires="x15">
      <x15ac:absPath xmlns:x15ac="http://schemas.microsoft.com/office/spreadsheetml/2010/11/ac" url="/Users/rsn/Downloads/"/>
    </mc:Choice>
  </mc:AlternateContent>
  <xr:revisionPtr revIDLastSave="0" documentId="13_ncr:1_{05A50049-1B9D-B440-A225-2BFD9292B4F8}" xr6:coauthVersionLast="36" xr6:coauthVersionMax="36" xr10:uidLastSave="{00000000-0000-0000-0000-000000000000}"/>
  <bookViews>
    <workbookView xWindow="-36240" yWindow="1920" windowWidth="35000" windowHeight="19520" activeTab="5" xr2:uid="{00000000-000D-0000-FFFF-FFFF00000000}"/>
  </bookViews>
  <sheets>
    <sheet name="Sheet1" sheetId="3" r:id="rId1"/>
    <sheet name="Sheet2" sheetId="4" r:id="rId2"/>
    <sheet name="Sheet3" sheetId="5" r:id="rId3"/>
    <sheet name="Sheet4" sheetId="6" r:id="rId4"/>
    <sheet name="Sheet5" sheetId="7" r:id="rId5"/>
    <sheet name="Sheet6" sheetId="8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7" l="1"/>
  <c r="F5" i="8"/>
  <c r="G16" i="8" s="1"/>
  <c r="F6" i="8"/>
  <c r="F6" i="7"/>
  <c r="G30" i="7" s="1"/>
  <c r="F5" i="6"/>
  <c r="G13" i="6" s="1"/>
  <c r="F6" i="6"/>
  <c r="F6" i="5"/>
  <c r="G29" i="5" s="1"/>
  <c r="F5" i="5"/>
  <c r="G27" i="5" s="1"/>
  <c r="F6" i="4"/>
  <c r="G14" i="4" s="1"/>
  <c r="F5" i="4"/>
  <c r="G16" i="4" s="1"/>
  <c r="G18" i="5" l="1"/>
  <c r="G28" i="5"/>
  <c r="G12" i="7"/>
  <c r="G19" i="7"/>
  <c r="G29" i="7"/>
  <c r="G16" i="7"/>
  <c r="G22" i="7"/>
  <c r="G32" i="7"/>
  <c r="G13" i="4"/>
  <c r="G14" i="5"/>
  <c r="G22" i="5"/>
  <c r="G32" i="5"/>
  <c r="G25" i="7"/>
  <c r="G23" i="7"/>
  <c r="G33" i="7"/>
  <c r="G15" i="4"/>
  <c r="G26" i="5"/>
  <c r="G17" i="5"/>
  <c r="G18" i="7"/>
  <c r="G28" i="7"/>
  <c r="G12" i="5"/>
  <c r="G25" i="5"/>
  <c r="G30" i="5"/>
  <c r="G14" i="7"/>
  <c r="G21" i="7"/>
  <c r="G31" i="7"/>
  <c r="G12" i="4"/>
  <c r="G13" i="5"/>
  <c r="G21" i="5"/>
  <c r="G31" i="5"/>
  <c r="G15" i="5"/>
  <c r="G23" i="5"/>
  <c r="G36" i="7"/>
  <c r="G26" i="7"/>
  <c r="G34" i="7"/>
  <c r="G17" i="7"/>
  <c r="G27" i="7"/>
  <c r="G37" i="7"/>
  <c r="G38" i="7"/>
  <c r="G16" i="5"/>
  <c r="G39" i="7"/>
  <c r="G20" i="5"/>
  <c r="G13" i="7"/>
  <c r="G20" i="7"/>
  <c r="G13" i="8"/>
  <c r="G15" i="8"/>
  <c r="G12" i="8"/>
  <c r="G14" i="8"/>
  <c r="G15" i="6"/>
  <c r="G12" i="6"/>
  <c r="G14" i="6"/>
  <c r="G16" i="6"/>
  <c r="G11" i="8"/>
  <c r="G11" i="7"/>
  <c r="G11" i="6"/>
  <c r="G11" i="5"/>
  <c r="G11" i="4"/>
  <c r="F5" i="3"/>
  <c r="F6" i="3"/>
  <c r="G21" i="3" l="1"/>
  <c r="G20" i="3"/>
  <c r="G18" i="3"/>
  <c r="G23" i="3"/>
  <c r="G14" i="3"/>
  <c r="G22" i="3"/>
  <c r="G13" i="3"/>
  <c r="G12" i="3"/>
  <c r="G19" i="3"/>
  <c r="G17" i="3"/>
  <c r="G16" i="3"/>
  <c r="G11" i="3"/>
</calcChain>
</file>

<file path=xl/sharedStrings.xml><?xml version="1.0" encoding="utf-8"?>
<sst xmlns="http://schemas.openxmlformats.org/spreadsheetml/2006/main" count="337" uniqueCount="94">
  <si>
    <t>Analyst:</t>
  </si>
  <si>
    <t>Bottle #</t>
  </si>
  <si>
    <t>Bottle Volume</t>
  </si>
  <si>
    <t>Buret Titer</t>
  </si>
  <si>
    <t>Comments</t>
  </si>
  <si>
    <t>ml</t>
  </si>
  <si>
    <t>ml/liter</t>
  </si>
  <si>
    <t>Date/Time:</t>
  </si>
  <si>
    <t>Blank #1</t>
  </si>
  <si>
    <t>Blank #2</t>
  </si>
  <si>
    <t>Standard Normality:</t>
  </si>
  <si>
    <t>(meters)</t>
  </si>
  <si>
    <t>Depth</t>
  </si>
  <si>
    <t>Oxygen Concentration</t>
  </si>
  <si>
    <t>Bottle</t>
  </si>
  <si>
    <t>Niskin</t>
  </si>
  <si>
    <t>Cast</t>
  </si>
  <si>
    <t>CTD</t>
  </si>
  <si>
    <t>Cruise #:</t>
  </si>
  <si>
    <t>Event #s:</t>
  </si>
  <si>
    <t>Standard #1</t>
  </si>
  <si>
    <t>Standard #2</t>
  </si>
  <si>
    <t>Standard #3</t>
  </si>
  <si>
    <t>Standard #4</t>
  </si>
  <si>
    <t>Correction Factor:</t>
  </si>
  <si>
    <t>Standard (avg):</t>
  </si>
  <si>
    <t>Pipette Volume:</t>
  </si>
  <si>
    <t>Dive J2-1043</t>
  </si>
  <si>
    <t>Strbd Aft</t>
  </si>
  <si>
    <t>Port Basket</t>
  </si>
  <si>
    <t>CTD-02</t>
  </si>
  <si>
    <t>OX-054</t>
  </si>
  <si>
    <t>OX-053</t>
  </si>
  <si>
    <t>OX-055</t>
  </si>
  <si>
    <t>OX-056</t>
  </si>
  <si>
    <t>OX-057</t>
  </si>
  <si>
    <t>OX-059</t>
  </si>
  <si>
    <t>OX-058</t>
  </si>
  <si>
    <t>CTD-03</t>
  </si>
  <si>
    <t>OX 50</t>
  </si>
  <si>
    <t>OX 60B</t>
  </si>
  <si>
    <t>OX 51</t>
  </si>
  <si>
    <t>OX 52</t>
  </si>
  <si>
    <t>OX 54</t>
  </si>
  <si>
    <t>OX 53</t>
  </si>
  <si>
    <t>CTD-06</t>
  </si>
  <si>
    <t>CTD-08</t>
  </si>
  <si>
    <t>CTD-09</t>
  </si>
  <si>
    <t>Standard #5</t>
  </si>
  <si>
    <t>Standard #6</t>
  </si>
  <si>
    <t>CTD-11</t>
  </si>
  <si>
    <t>Dive J2-1085</t>
  </si>
  <si>
    <t>CTD-13</t>
  </si>
  <si>
    <t>CTD-14</t>
  </si>
  <si>
    <t>313A</t>
  </si>
  <si>
    <t>Dive J2-1089</t>
  </si>
  <si>
    <t>CTD-16</t>
  </si>
  <si>
    <t>317A</t>
  </si>
  <si>
    <t>OX-060B</t>
  </si>
  <si>
    <t>OX-049</t>
  </si>
  <si>
    <t>OX-050</t>
  </si>
  <si>
    <t>OX-051</t>
  </si>
  <si>
    <t>OX-052</t>
  </si>
  <si>
    <t>Strbd Forward</t>
  </si>
  <si>
    <t>OX-60B</t>
  </si>
  <si>
    <t>OX-52</t>
  </si>
  <si>
    <t>OX-50</t>
  </si>
  <si>
    <t>OX-53</t>
  </si>
  <si>
    <t>OX-51</t>
  </si>
  <si>
    <t>OX-54</t>
  </si>
  <si>
    <t>OX-49</t>
  </si>
  <si>
    <t>OX-55</t>
  </si>
  <si>
    <t>OX-56</t>
  </si>
  <si>
    <t>OX-59</t>
  </si>
  <si>
    <t>OX-58</t>
  </si>
  <si>
    <t>OX-57</t>
  </si>
  <si>
    <t>OX-61</t>
  </si>
  <si>
    <t>OX-62</t>
  </si>
  <si>
    <t>OX-63</t>
  </si>
  <si>
    <t>OX-66</t>
  </si>
  <si>
    <t>OX-64</t>
  </si>
  <si>
    <t>OX-67</t>
  </si>
  <si>
    <t>OX-65</t>
  </si>
  <si>
    <t>OX-68</t>
  </si>
  <si>
    <t>OX-71</t>
  </si>
  <si>
    <t>OX-313A</t>
  </si>
  <si>
    <t>OX-70</t>
  </si>
  <si>
    <t>OX-72</t>
  </si>
  <si>
    <t>OX-314</t>
  </si>
  <si>
    <t>OX-69</t>
  </si>
  <si>
    <t>VISIONS 18 R1809</t>
  </si>
  <si>
    <t>VISIONS 18 R1810</t>
  </si>
  <si>
    <t>VISIONS 18 R1811</t>
  </si>
  <si>
    <t>VISIONS 18 R1812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</si>
</sst>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"/>
    <numFmt numFmtId="166" formatCode="0.0000"/>
    <numFmt numFmtId="167" formatCode="0.000000"/>
  </numFmts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lightGray">
        <fgColor indexed="22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gray125">
        <fgColor theme="5" tint="0.39994506668294322"/>
        <bgColor theme="0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" fillId="0" borderId="0" xfId="0" applyFon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right"/>
    </xf>
    <xf numFmtId="164" fontId="0" fillId="0" borderId="0" xfId="0" applyNumberFormat="1" applyFill="1" applyBorder="1"/>
    <xf numFmtId="2" fontId="0" fillId="0" borderId="0" xfId="0" applyNumberFormat="1" applyFill="1" applyBorder="1"/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0" xfId="0" applyBorder="1"/>
    <xf numFmtId="165" fontId="0" fillId="0" borderId="0" xfId="0" applyNumberFormat="1" applyBorder="1"/>
    <xf numFmtId="164" fontId="0" fillId="0" borderId="0" xfId="0" applyNumberFormat="1" applyBorder="1"/>
    <xf numFmtId="0" fontId="0" fillId="0" borderId="0" xfId="0" applyFill="1" applyBorder="1"/>
    <xf numFmtId="164" fontId="0" fillId="0" borderId="0" xfId="0" applyNumberFormat="1" applyProtection="1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/>
    <xf numFmtId="2" fontId="0" fillId="0" borderId="0" xfId="0" applyNumberFormat="1" applyBorder="1"/>
    <xf numFmtId="1" fontId="0" fillId="0" borderId="0" xfId="0" applyNumberFormat="1" applyBorder="1"/>
    <xf numFmtId="2" fontId="0" fillId="0" borderId="0" xfId="0" applyNumberFormat="1" applyFill="1" applyBorder="1" applyAlignment="1">
      <alignment horizontal="left"/>
    </xf>
    <xf numFmtId="164" fontId="0" fillId="0" borderId="0" xfId="0" applyNumberFormat="1" applyFill="1" applyBorder="1" applyAlignment="1">
      <alignment horizontal="left"/>
    </xf>
    <xf numFmtId="165" fontId="0" fillId="0" borderId="0" xfId="0" applyNumberFormat="1" applyFill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6" fontId="0" fillId="0" borderId="0" xfId="0" applyNumberFormat="1" applyFill="1" applyAlignment="1">
      <alignment horizontal="center"/>
    </xf>
    <xf numFmtId="167" fontId="0" fillId="3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166" fontId="0" fillId="0" borderId="0" xfId="0" applyNumberFormat="1" applyFill="1" applyBorder="1" applyAlignment="1">
      <alignment horizontal="center"/>
    </xf>
    <xf numFmtId="166" fontId="0" fillId="4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Fill="1" applyAlignment="1">
      <alignment horizontal="center"/>
    </xf>
    <xf numFmtId="167" fontId="0" fillId="0" borderId="0" xfId="0" applyNumberFormat="1" applyFill="1" applyAlignment="1">
      <alignment horizontal="center"/>
    </xf>
    <xf numFmtId="0" fontId="0" fillId="0" borderId="0" xfId="0" applyFont="1" applyBorder="1" applyAlignment="1">
      <alignment horizontal="center"/>
    </xf>
    <xf numFmtId="2" fontId="0" fillId="0" borderId="0" xfId="0" applyNumberFormat="1" applyFill="1"/>
    <xf numFmtId="166" fontId="0" fillId="0" borderId="0" xfId="0" applyNumberFormat="1" applyFill="1"/>
    <xf numFmtId="0" fontId="0" fillId="0" borderId="0" xfId="0" applyFont="1" applyFill="1" applyBorder="1"/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2" fontId="1" fillId="2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N32"/>
  <sheetViews>
    <sheetView workbookViewId="0">
      <selection activeCell="G11" sqref="G11:G14"/>
    </sheetView>
  </sheetViews>
  <sheetFormatPr baseColWidth="10" defaultColWidth="8.83203125" defaultRowHeight="15" x14ac:dyDescent="0.2"/>
  <cols>
    <col min="1" max="2" width="11.5" customWidth="1"/>
    <col min="3" max="3" width="12.5" customWidth="1"/>
    <col min="4" max="4" width="14" customWidth="1"/>
    <col min="5" max="6" width="16.6640625" bestFit="1" customWidth="1"/>
    <col min="7" max="7" width="15" customWidth="1"/>
    <col min="8" max="8" width="11.33203125" customWidth="1"/>
    <col min="9" max="9" width="13.5" customWidth="1"/>
    <col min="10" max="10" width="10.6640625" customWidth="1"/>
    <col min="11" max="11" width="16" bestFit="1" customWidth="1"/>
    <col min="12" max="12" width="14.33203125" customWidth="1"/>
    <col min="13" max="13" width="10.1640625" bestFit="1" customWidth="1"/>
    <col min="15" max="15" width="12" bestFit="1" customWidth="1"/>
  </cols>
  <sheetData>
    <row r="3" spans="1:14" x14ac:dyDescent="0.2">
      <c r="A3" s="12" t="s">
        <v>18</v>
      </c>
      <c r="B3" s="42" t="s">
        <v>90</v>
      </c>
      <c r="C3" s="42"/>
      <c r="E3" s="13" t="s">
        <v>26</v>
      </c>
      <c r="F3" s="32">
        <v>10</v>
      </c>
      <c r="H3" t="s">
        <v>20</v>
      </c>
      <c r="I3" s="34">
        <v>0.50700000000000001</v>
      </c>
      <c r="J3" t="s">
        <v>8</v>
      </c>
      <c r="K3" s="34">
        <v>5.0999999999999997E-2</v>
      </c>
    </row>
    <row r="4" spans="1:14" x14ac:dyDescent="0.2">
      <c r="A4" s="15" t="s">
        <v>19</v>
      </c>
      <c r="B4" s="42"/>
      <c r="C4" s="42"/>
      <c r="E4" s="7" t="s">
        <v>10</v>
      </c>
      <c r="F4" s="32">
        <v>0.01</v>
      </c>
      <c r="G4" s="8"/>
      <c r="H4" t="s">
        <v>21</v>
      </c>
      <c r="I4" s="34">
        <v>0.504</v>
      </c>
      <c r="J4" t="s">
        <v>9</v>
      </c>
      <c r="K4" s="34">
        <v>0.10150000000000001</v>
      </c>
    </row>
    <row r="5" spans="1:14" x14ac:dyDescent="0.2">
      <c r="A5" s="15" t="s">
        <v>7</v>
      </c>
      <c r="B5" s="43">
        <v>43279</v>
      </c>
      <c r="C5" s="42"/>
      <c r="E5" s="7" t="s">
        <v>25</v>
      </c>
      <c r="F5" s="33">
        <f>AVERAGE(I3:I6)</f>
        <v>0.50483333333333336</v>
      </c>
      <c r="G5" s="8"/>
      <c r="H5" t="s">
        <v>22</v>
      </c>
      <c r="I5" s="34">
        <v>0.50349999999999995</v>
      </c>
      <c r="K5" s="17"/>
    </row>
    <row r="6" spans="1:14" x14ac:dyDescent="0.2">
      <c r="A6" s="14" t="s">
        <v>0</v>
      </c>
      <c r="B6" s="42"/>
      <c r="C6" s="42"/>
      <c r="E6" s="24" t="s">
        <v>24</v>
      </c>
      <c r="F6" s="33">
        <f>K4-K3</f>
        <v>5.050000000000001E-2</v>
      </c>
      <c r="G6" s="25"/>
      <c r="H6" t="s">
        <v>23</v>
      </c>
      <c r="I6" s="34"/>
    </row>
    <row r="7" spans="1:14" x14ac:dyDescent="0.2">
      <c r="A7" s="12"/>
      <c r="B7" s="12"/>
      <c r="C7" s="12"/>
      <c r="D7" s="12"/>
      <c r="E7" s="12"/>
      <c r="F7" s="14"/>
      <c r="G7" s="14"/>
      <c r="H7" s="22"/>
      <c r="I7" s="23"/>
    </row>
    <row r="8" spans="1:14" x14ac:dyDescent="0.2">
      <c r="G8" s="1"/>
      <c r="H8" s="1"/>
      <c r="I8" s="2"/>
    </row>
    <row r="9" spans="1:14" x14ac:dyDescent="0.2">
      <c r="A9" s="3" t="s">
        <v>17</v>
      </c>
      <c r="B9" s="3" t="s">
        <v>15</v>
      </c>
      <c r="C9" s="3" t="s">
        <v>12</v>
      </c>
      <c r="D9" s="3" t="s">
        <v>1</v>
      </c>
      <c r="E9" s="3" t="s">
        <v>2</v>
      </c>
      <c r="F9" s="4" t="s">
        <v>3</v>
      </c>
      <c r="G9" s="44" t="s">
        <v>13</v>
      </c>
      <c r="H9" s="45"/>
      <c r="I9" s="5" t="s">
        <v>4</v>
      </c>
      <c r="J9" s="5"/>
    </row>
    <row r="10" spans="1:14" ht="16" thickBot="1" x14ac:dyDescent="0.25">
      <c r="A10" s="10" t="s">
        <v>16</v>
      </c>
      <c r="B10" s="10" t="s">
        <v>14</v>
      </c>
      <c r="C10" s="10" t="s">
        <v>11</v>
      </c>
      <c r="D10" s="10"/>
      <c r="E10" s="10" t="s">
        <v>5</v>
      </c>
      <c r="F10" s="11" t="s">
        <v>5</v>
      </c>
      <c r="G10" s="9" t="s">
        <v>6</v>
      </c>
      <c r="H10" s="6"/>
    </row>
    <row r="11" spans="1:14" ht="16" thickTop="1" x14ac:dyDescent="0.2">
      <c r="A11" s="35" t="s">
        <v>27</v>
      </c>
      <c r="B11" s="35" t="s">
        <v>28</v>
      </c>
      <c r="C11" s="35">
        <v>195</v>
      </c>
      <c r="D11" s="35" t="s">
        <v>59</v>
      </c>
      <c r="E11" s="30">
        <v>129</v>
      </c>
      <c r="F11" s="31">
        <v>0.31</v>
      </c>
      <c r="G11" s="29">
        <f>(((((F11-$F$6)*$F$3*$F$4*5598)/($F$5-$F$6))-1000*0.0017)/(E11-2))</f>
        <v>2.5042443428980765</v>
      </c>
      <c r="N11" s="16"/>
    </row>
    <row r="12" spans="1:14" x14ac:dyDescent="0.2">
      <c r="A12" s="35" t="s">
        <v>27</v>
      </c>
      <c r="B12" s="35" t="s">
        <v>28</v>
      </c>
      <c r="C12" s="35">
        <v>195</v>
      </c>
      <c r="D12" s="35" t="s">
        <v>60</v>
      </c>
      <c r="E12" s="30">
        <v>135.09</v>
      </c>
      <c r="F12" s="31">
        <v>0.31900000000000001</v>
      </c>
      <c r="G12" s="29">
        <f t="shared" ref="G12:G23" si="0">(((((F12-$F$6)*$F$3*$F$4*5598)/($F$5-$F$6))-1000*0.0017)/(E12-2))</f>
        <v>2.4729750282894307</v>
      </c>
    </row>
    <row r="13" spans="1:14" x14ac:dyDescent="0.2">
      <c r="A13" s="35" t="s">
        <v>27</v>
      </c>
      <c r="B13" s="35" t="s">
        <v>29</v>
      </c>
      <c r="C13" s="35">
        <v>195</v>
      </c>
      <c r="D13" s="35" t="s">
        <v>61</v>
      </c>
      <c r="E13" s="30">
        <v>141.41999999999999</v>
      </c>
      <c r="F13" s="31">
        <v>0.32750000000000001</v>
      </c>
      <c r="G13" s="29">
        <f t="shared" si="0"/>
        <v>2.4358154782947872</v>
      </c>
    </row>
    <row r="14" spans="1:14" x14ac:dyDescent="0.2">
      <c r="A14" s="35" t="s">
        <v>27</v>
      </c>
      <c r="B14" s="35" t="s">
        <v>29</v>
      </c>
      <c r="C14" s="35">
        <v>195</v>
      </c>
      <c r="D14" s="35" t="s">
        <v>62</v>
      </c>
      <c r="E14" s="30">
        <v>132.93</v>
      </c>
      <c r="F14" s="31">
        <v>0.3145</v>
      </c>
      <c r="G14" s="29">
        <f t="shared" si="0"/>
        <v>2.4714247233754527</v>
      </c>
    </row>
    <row r="15" spans="1:14" x14ac:dyDescent="0.2">
      <c r="A15" s="18"/>
      <c r="B15" s="18"/>
      <c r="C15" s="18"/>
      <c r="D15" s="18"/>
      <c r="E15" s="36"/>
      <c r="F15" s="28"/>
      <c r="G15" s="37"/>
      <c r="N15" s="16"/>
    </row>
    <row r="16" spans="1:14" x14ac:dyDescent="0.2">
      <c r="A16" s="18" t="s">
        <v>30</v>
      </c>
      <c r="B16" s="35">
        <v>5</v>
      </c>
      <c r="C16" s="35">
        <v>181</v>
      </c>
      <c r="D16" s="35" t="s">
        <v>31</v>
      </c>
      <c r="E16" s="30">
        <v>133.33000000000001</v>
      </c>
      <c r="F16" s="31">
        <v>0.26450000000000001</v>
      </c>
      <c r="G16" s="29">
        <f t="shared" si="0"/>
        <v>1.9947985168275868</v>
      </c>
    </row>
    <row r="17" spans="1:12" x14ac:dyDescent="0.2">
      <c r="A17" s="18" t="s">
        <v>30</v>
      </c>
      <c r="B17" s="35">
        <v>6</v>
      </c>
      <c r="C17" s="35">
        <v>181</v>
      </c>
      <c r="D17" s="35" t="s">
        <v>32</v>
      </c>
      <c r="E17" s="30">
        <v>143.76</v>
      </c>
      <c r="F17" s="31">
        <v>0.32350000000000001</v>
      </c>
      <c r="G17" s="29">
        <f t="shared" si="0"/>
        <v>2.3608412387029682</v>
      </c>
    </row>
    <row r="18" spans="1:12" x14ac:dyDescent="0.2">
      <c r="A18" s="18" t="s">
        <v>30</v>
      </c>
      <c r="B18" s="35">
        <v>9</v>
      </c>
      <c r="C18" s="35">
        <v>141</v>
      </c>
      <c r="D18" s="35" t="s">
        <v>33</v>
      </c>
      <c r="E18" s="30">
        <v>131.11000000000001</v>
      </c>
      <c r="F18" s="31">
        <v>0.33850000000000002</v>
      </c>
      <c r="G18" s="29">
        <f t="shared" si="0"/>
        <v>2.7353022921811401</v>
      </c>
    </row>
    <row r="19" spans="1:12" x14ac:dyDescent="0.2">
      <c r="A19" s="18" t="s">
        <v>30</v>
      </c>
      <c r="B19" s="35">
        <v>10</v>
      </c>
      <c r="C19" s="35">
        <v>141</v>
      </c>
      <c r="D19" s="35" t="s">
        <v>34</v>
      </c>
      <c r="E19" s="30">
        <v>141.69999999999999</v>
      </c>
      <c r="F19" s="31">
        <v>0.34100000000000003</v>
      </c>
      <c r="G19" s="29">
        <f t="shared" si="0"/>
        <v>2.5500015492794281</v>
      </c>
    </row>
    <row r="20" spans="1:12" x14ac:dyDescent="0.2">
      <c r="A20" s="18" t="s">
        <v>30</v>
      </c>
      <c r="B20" s="35">
        <v>19</v>
      </c>
      <c r="C20" s="35">
        <v>42</v>
      </c>
      <c r="D20" s="35" t="s">
        <v>35</v>
      </c>
      <c r="E20" s="30">
        <v>131.65</v>
      </c>
      <c r="F20" s="31">
        <v>0.80600000000000005</v>
      </c>
      <c r="G20" s="29">
        <f t="shared" si="0"/>
        <v>7.1668182778907825</v>
      </c>
    </row>
    <row r="21" spans="1:12" x14ac:dyDescent="0.2">
      <c r="A21" s="18" t="s">
        <v>30</v>
      </c>
      <c r="B21" s="35">
        <v>20</v>
      </c>
      <c r="C21" s="35">
        <v>42</v>
      </c>
      <c r="D21" s="35" t="s">
        <v>36</v>
      </c>
      <c r="E21" s="30">
        <v>123.78</v>
      </c>
      <c r="F21" s="31">
        <v>0.75700000000000001</v>
      </c>
      <c r="G21" s="29">
        <f t="shared" si="0"/>
        <v>7.1342040967998894</v>
      </c>
    </row>
    <row r="22" spans="1:12" x14ac:dyDescent="0.2">
      <c r="A22" s="18" t="s">
        <v>30</v>
      </c>
      <c r="B22" s="35">
        <v>23</v>
      </c>
      <c r="C22" s="35">
        <v>13</v>
      </c>
      <c r="D22" s="35" t="s">
        <v>37</v>
      </c>
      <c r="E22" s="30">
        <v>132.77000000000001</v>
      </c>
      <c r="F22" s="31">
        <v>0.73450000000000004</v>
      </c>
      <c r="G22" s="29">
        <f t="shared" si="0"/>
        <v>6.4317529822652668</v>
      </c>
    </row>
    <row r="23" spans="1:12" x14ac:dyDescent="0.2">
      <c r="A23" s="18" t="s">
        <v>30</v>
      </c>
      <c r="B23" s="38">
        <v>24</v>
      </c>
      <c r="C23" s="35">
        <v>13</v>
      </c>
      <c r="D23" s="35" t="s">
        <v>58</v>
      </c>
      <c r="E23" s="30">
        <v>142.88999999999999</v>
      </c>
      <c r="F23" s="31">
        <v>0.80349999999999999</v>
      </c>
      <c r="G23" s="29">
        <f t="shared" si="0"/>
        <v>6.5731964812102417</v>
      </c>
    </row>
    <row r="24" spans="1:12" x14ac:dyDescent="0.2">
      <c r="A24" s="18"/>
      <c r="B24" s="18"/>
      <c r="C24" s="18"/>
      <c r="D24" s="18"/>
      <c r="E24" s="36"/>
      <c r="F24" s="28"/>
      <c r="G24" s="37"/>
    </row>
    <row r="25" spans="1:12" x14ac:dyDescent="0.2">
      <c r="A25" s="18"/>
      <c r="B25" s="18"/>
      <c r="C25" s="18"/>
      <c r="D25" s="18"/>
      <c r="E25" s="36"/>
      <c r="F25" s="28"/>
      <c r="G25" s="37"/>
      <c r="K25" s="21"/>
      <c r="L25" s="21"/>
    </row>
    <row r="26" spans="1:12" x14ac:dyDescent="0.2">
      <c r="A26" s="18"/>
      <c r="B26" s="18"/>
      <c r="C26" s="18"/>
      <c r="D26" s="18"/>
      <c r="E26" s="36"/>
      <c r="F26" s="28"/>
      <c r="G26" s="37"/>
      <c r="K26" s="21"/>
      <c r="L26" s="21"/>
    </row>
    <row r="27" spans="1:12" x14ac:dyDescent="0.2">
      <c r="A27" s="18"/>
      <c r="B27" s="18"/>
      <c r="C27" s="18"/>
      <c r="D27" s="18"/>
      <c r="E27" s="36"/>
      <c r="F27" s="28"/>
      <c r="G27" s="37"/>
      <c r="K27" s="20"/>
      <c r="L27" s="20"/>
    </row>
    <row r="28" spans="1:12" x14ac:dyDescent="0.2">
      <c r="A28" s="18"/>
      <c r="B28" s="18"/>
      <c r="C28" s="18"/>
      <c r="D28" s="18"/>
      <c r="E28" s="36"/>
      <c r="F28" s="28"/>
      <c r="G28" s="37"/>
      <c r="K28" s="19"/>
      <c r="L28" s="20"/>
    </row>
    <row r="29" spans="1:12" x14ac:dyDescent="0.2">
      <c r="A29" s="18"/>
      <c r="B29" s="18"/>
      <c r="C29" s="18"/>
      <c r="D29" s="18"/>
      <c r="E29" s="36"/>
      <c r="F29" s="28"/>
      <c r="G29" s="37"/>
      <c r="K29" s="26"/>
      <c r="L29" s="20"/>
    </row>
    <row r="30" spans="1:12" x14ac:dyDescent="0.2">
      <c r="A30" s="18"/>
      <c r="B30" s="18"/>
      <c r="C30" s="18"/>
      <c r="D30" s="18"/>
      <c r="E30" s="36"/>
      <c r="F30" s="28"/>
      <c r="G30" s="37"/>
      <c r="K30" s="27"/>
      <c r="L30" s="20"/>
    </row>
    <row r="31" spans="1:12" x14ac:dyDescent="0.2">
      <c r="A31" s="18"/>
      <c r="B31" s="18"/>
      <c r="C31" s="18"/>
      <c r="D31" s="18"/>
      <c r="E31" s="18"/>
      <c r="F31" s="18"/>
      <c r="G31" s="18"/>
      <c r="K31" s="21"/>
      <c r="L31" s="21"/>
    </row>
    <row r="32" spans="1:12" x14ac:dyDescent="0.2">
      <c r="A32" s="18"/>
      <c r="B32" s="18"/>
      <c r="C32" s="18"/>
      <c r="D32" s="18"/>
      <c r="E32" s="18"/>
      <c r="F32" s="28"/>
      <c r="G32" s="37"/>
      <c r="K32" s="21"/>
      <c r="L32" s="21"/>
    </row>
  </sheetData>
  <mergeCells count="5">
    <mergeCell ref="B3:C3"/>
    <mergeCell ref="B4:C4"/>
    <mergeCell ref="B5:C5"/>
    <mergeCell ref="B6:C6"/>
    <mergeCell ref="G9:H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C4C42-0D30-0548-A727-9C1C141D501A}">
  <dimension ref="A3:N32"/>
  <sheetViews>
    <sheetView workbookViewId="0">
      <selection activeCell="G15" sqref="G15"/>
    </sheetView>
  </sheetViews>
  <sheetFormatPr baseColWidth="10" defaultColWidth="8.83203125" defaultRowHeight="15" x14ac:dyDescent="0.2"/>
  <cols>
    <col min="1" max="2" width="11.5" customWidth="1"/>
    <col min="3" max="3" width="12.5" customWidth="1"/>
    <col min="4" max="4" width="14" customWidth="1"/>
    <col min="5" max="6" width="16.6640625" bestFit="1" customWidth="1"/>
    <col min="7" max="7" width="15" customWidth="1"/>
    <col min="8" max="8" width="11.33203125" customWidth="1"/>
    <col min="9" max="9" width="13.5" customWidth="1"/>
    <col min="10" max="10" width="10.6640625" customWidth="1"/>
    <col min="11" max="11" width="16" bestFit="1" customWidth="1"/>
    <col min="12" max="12" width="14.33203125" customWidth="1"/>
    <col min="13" max="13" width="10.1640625" bestFit="1" customWidth="1"/>
    <col min="15" max="15" width="12" bestFit="1" customWidth="1"/>
  </cols>
  <sheetData>
    <row r="3" spans="1:14" x14ac:dyDescent="0.2">
      <c r="A3" s="12" t="s">
        <v>18</v>
      </c>
      <c r="B3" s="42" t="s">
        <v>91</v>
      </c>
      <c r="C3" s="42"/>
      <c r="E3" s="13" t="s">
        <v>26</v>
      </c>
      <c r="F3" s="32">
        <v>10</v>
      </c>
      <c r="H3" t="s">
        <v>20</v>
      </c>
      <c r="I3" s="34">
        <v>0.48899999999999999</v>
      </c>
      <c r="J3" t="s">
        <v>8</v>
      </c>
      <c r="K3" s="34">
        <v>5.3499999999999999E-2</v>
      </c>
    </row>
    <row r="4" spans="1:14" x14ac:dyDescent="0.2">
      <c r="A4" s="15" t="s">
        <v>19</v>
      </c>
      <c r="B4" s="42"/>
      <c r="C4" s="42"/>
      <c r="E4" s="7" t="s">
        <v>10</v>
      </c>
      <c r="F4" s="32">
        <v>0.01</v>
      </c>
      <c r="G4" s="8"/>
      <c r="H4" t="s">
        <v>21</v>
      </c>
      <c r="I4" s="34">
        <v>0.50949999999999995</v>
      </c>
      <c r="J4" t="s">
        <v>9</v>
      </c>
      <c r="K4" s="34">
        <v>0.104</v>
      </c>
    </row>
    <row r="5" spans="1:14" x14ac:dyDescent="0.2">
      <c r="A5" s="15" t="s">
        <v>7</v>
      </c>
      <c r="B5" s="43">
        <v>43286</v>
      </c>
      <c r="C5" s="42"/>
      <c r="E5" s="7" t="s">
        <v>25</v>
      </c>
      <c r="F5" s="33">
        <f>AVERAGE(I3:I6)</f>
        <v>0.50212499999999993</v>
      </c>
      <c r="G5" s="8"/>
      <c r="H5" t="s">
        <v>22</v>
      </c>
      <c r="I5" s="34">
        <v>0.50549999999999995</v>
      </c>
      <c r="K5" s="17"/>
    </row>
    <row r="6" spans="1:14" x14ac:dyDescent="0.2">
      <c r="A6" s="14" t="s">
        <v>0</v>
      </c>
      <c r="B6" s="42"/>
      <c r="C6" s="42"/>
      <c r="E6" s="24" t="s">
        <v>24</v>
      </c>
      <c r="F6" s="33">
        <f>K4-K3</f>
        <v>5.0499999999999996E-2</v>
      </c>
      <c r="G6" s="25"/>
      <c r="H6" t="s">
        <v>23</v>
      </c>
      <c r="I6" s="34">
        <v>0.50449999999999995</v>
      </c>
    </row>
    <row r="7" spans="1:14" x14ac:dyDescent="0.2">
      <c r="A7" s="12"/>
      <c r="B7" s="12"/>
      <c r="C7" s="12"/>
      <c r="D7" s="12"/>
      <c r="E7" s="12"/>
      <c r="F7" s="14"/>
      <c r="G7" s="14"/>
      <c r="H7" s="22"/>
      <c r="I7" s="23"/>
    </row>
    <row r="8" spans="1:14" x14ac:dyDescent="0.2">
      <c r="G8" s="1"/>
      <c r="H8" s="1"/>
      <c r="I8" s="2"/>
    </row>
    <row r="9" spans="1:14" x14ac:dyDescent="0.2">
      <c r="A9" s="3" t="s">
        <v>17</v>
      </c>
      <c r="B9" s="3" t="s">
        <v>15</v>
      </c>
      <c r="C9" s="3" t="s">
        <v>12</v>
      </c>
      <c r="D9" s="3" t="s">
        <v>1</v>
      </c>
      <c r="E9" s="3" t="s">
        <v>2</v>
      </c>
      <c r="F9" s="4" t="s">
        <v>3</v>
      </c>
      <c r="G9" s="44" t="s">
        <v>13</v>
      </c>
      <c r="H9" s="45"/>
      <c r="I9" s="5" t="s">
        <v>4</v>
      </c>
      <c r="J9" s="5"/>
    </row>
    <row r="10" spans="1:14" ht="16" thickBot="1" x14ac:dyDescent="0.25">
      <c r="A10" s="10" t="s">
        <v>16</v>
      </c>
      <c r="B10" s="10" t="s">
        <v>14</v>
      </c>
      <c r="C10" s="10" t="s">
        <v>11</v>
      </c>
      <c r="D10" s="10"/>
      <c r="E10" s="10" t="s">
        <v>5</v>
      </c>
      <c r="F10" s="11" t="s">
        <v>5</v>
      </c>
      <c r="G10" s="9" t="s">
        <v>6</v>
      </c>
      <c r="H10" s="6"/>
    </row>
    <row r="11" spans="1:14" ht="16" thickTop="1" x14ac:dyDescent="0.2">
      <c r="A11" s="35" t="s">
        <v>38</v>
      </c>
      <c r="B11" s="35">
        <v>10</v>
      </c>
      <c r="C11" s="35">
        <v>122</v>
      </c>
      <c r="D11" s="35" t="s">
        <v>39</v>
      </c>
      <c r="E11" s="35">
        <v>135.09</v>
      </c>
      <c r="F11" s="31">
        <v>0.62050000000000005</v>
      </c>
      <c r="G11" s="29">
        <f>(((((F11-$F$6)*$F$3*$F$4*5598)/($F$5-$F$6))-1000*0.0017)/(E11-2))</f>
        <v>5.2958798298452949</v>
      </c>
      <c r="N11" s="16"/>
    </row>
    <row r="12" spans="1:14" x14ac:dyDescent="0.2">
      <c r="A12" s="35" t="s">
        <v>38</v>
      </c>
      <c r="B12" s="35">
        <v>10</v>
      </c>
      <c r="C12" s="35">
        <v>122</v>
      </c>
      <c r="D12" s="35" t="s">
        <v>40</v>
      </c>
      <c r="E12" s="35">
        <v>142.88999999999999</v>
      </c>
      <c r="F12" s="31">
        <v>0.65200000000000002</v>
      </c>
      <c r="G12" s="29">
        <f t="shared" ref="G12:G16" si="0">(((((F12-$F$6)*$F$3*$F$4*5598)/($F$5-$F$6))-1000*0.0017)/(E12-2))</f>
        <v>5.2798186578592157</v>
      </c>
    </row>
    <row r="13" spans="1:14" x14ac:dyDescent="0.2">
      <c r="A13" s="35" t="s">
        <v>38</v>
      </c>
      <c r="B13" s="35">
        <v>20</v>
      </c>
      <c r="C13" s="35">
        <v>23</v>
      </c>
      <c r="D13" s="35" t="s">
        <v>41</v>
      </c>
      <c r="E13" s="35">
        <v>141.41999999999999</v>
      </c>
      <c r="F13" s="31">
        <v>0.79449999999999998</v>
      </c>
      <c r="G13" s="29">
        <f t="shared" si="0"/>
        <v>6.6023942931022264</v>
      </c>
    </row>
    <row r="14" spans="1:14" x14ac:dyDescent="0.2">
      <c r="A14" s="35" t="s">
        <v>38</v>
      </c>
      <c r="B14" s="35">
        <v>20</v>
      </c>
      <c r="C14" s="35">
        <v>23</v>
      </c>
      <c r="D14" s="35" t="s">
        <v>42</v>
      </c>
      <c r="E14" s="35">
        <v>132.93</v>
      </c>
      <c r="F14" s="31">
        <v>0.748</v>
      </c>
      <c r="G14" s="29">
        <f t="shared" si="0"/>
        <v>6.5902997714258973</v>
      </c>
    </row>
    <row r="15" spans="1:14" x14ac:dyDescent="0.2">
      <c r="A15" s="35" t="s">
        <v>38</v>
      </c>
      <c r="B15" s="35">
        <v>23</v>
      </c>
      <c r="C15" s="35">
        <v>13</v>
      </c>
      <c r="D15" s="35" t="s">
        <v>43</v>
      </c>
      <c r="E15" s="35">
        <v>133.33000000000001</v>
      </c>
      <c r="F15" s="31">
        <v>0.72799999999999998</v>
      </c>
      <c r="G15" s="29">
        <f t="shared" si="0"/>
        <v>6.3814625009238757</v>
      </c>
      <c r="N15" s="16"/>
    </row>
    <row r="16" spans="1:14" x14ac:dyDescent="0.2">
      <c r="A16" s="35" t="s">
        <v>38</v>
      </c>
      <c r="B16" s="35">
        <v>23</v>
      </c>
      <c r="C16" s="35">
        <v>13</v>
      </c>
      <c r="D16" s="35" t="s">
        <v>44</v>
      </c>
      <c r="E16" s="35">
        <v>143.76</v>
      </c>
      <c r="F16" s="31">
        <v>0.78849999999999998</v>
      </c>
      <c r="G16" s="29">
        <f t="shared" si="0"/>
        <v>6.4409471550252144</v>
      </c>
    </row>
    <row r="17" spans="1:12" x14ac:dyDescent="0.2">
      <c r="A17" s="18"/>
      <c r="B17" s="17"/>
      <c r="C17" s="17"/>
      <c r="D17" s="17"/>
      <c r="E17" s="39"/>
      <c r="F17" s="40"/>
      <c r="G17" s="37"/>
    </row>
    <row r="18" spans="1:12" x14ac:dyDescent="0.2">
      <c r="A18" s="18"/>
      <c r="B18" s="17"/>
      <c r="C18" s="17"/>
      <c r="D18" s="17"/>
      <c r="E18" s="39"/>
      <c r="F18" s="40"/>
      <c r="G18" s="37"/>
    </row>
    <row r="19" spans="1:12" x14ac:dyDescent="0.2">
      <c r="A19" s="18"/>
      <c r="B19" s="17"/>
      <c r="C19" s="17"/>
      <c r="D19" s="17"/>
      <c r="E19" s="39"/>
      <c r="F19" s="40"/>
      <c r="G19" s="37"/>
    </row>
    <row r="20" spans="1:12" x14ac:dyDescent="0.2">
      <c r="A20" s="18"/>
      <c r="B20" s="17"/>
      <c r="C20" s="17"/>
      <c r="D20" s="17"/>
      <c r="E20" s="39"/>
      <c r="F20" s="40"/>
      <c r="G20" s="37"/>
    </row>
    <row r="21" spans="1:12" x14ac:dyDescent="0.2">
      <c r="A21" s="18"/>
      <c r="B21" s="17"/>
      <c r="C21" s="17"/>
      <c r="D21" s="17"/>
      <c r="E21" s="39"/>
      <c r="F21" s="40"/>
      <c r="G21" s="37"/>
    </row>
    <row r="22" spans="1:12" x14ac:dyDescent="0.2">
      <c r="A22" s="18"/>
      <c r="B22" s="17"/>
      <c r="C22" s="17"/>
      <c r="D22" s="17"/>
      <c r="E22" s="39"/>
      <c r="F22" s="40"/>
      <c r="G22" s="37"/>
    </row>
    <row r="23" spans="1:12" x14ac:dyDescent="0.2">
      <c r="A23" s="18"/>
      <c r="B23" s="41"/>
      <c r="C23" s="17"/>
      <c r="D23" s="17"/>
      <c r="E23" s="39"/>
      <c r="F23" s="40"/>
      <c r="G23" s="37"/>
    </row>
    <row r="24" spans="1:12" x14ac:dyDescent="0.2">
      <c r="A24" s="18"/>
      <c r="B24" s="18"/>
      <c r="C24" s="18"/>
      <c r="D24" s="18"/>
      <c r="E24" s="36"/>
      <c r="F24" s="28"/>
      <c r="G24" s="37"/>
    </row>
    <row r="25" spans="1:12" x14ac:dyDescent="0.2">
      <c r="A25" s="18"/>
      <c r="B25" s="18"/>
      <c r="C25" s="18"/>
      <c r="D25" s="18"/>
      <c r="E25" s="36"/>
      <c r="F25" s="28"/>
      <c r="G25" s="37"/>
      <c r="K25" s="21"/>
      <c r="L25" s="21"/>
    </row>
    <row r="26" spans="1:12" x14ac:dyDescent="0.2">
      <c r="A26" s="18"/>
      <c r="B26" s="18"/>
      <c r="C26" s="18"/>
      <c r="D26" s="18"/>
      <c r="E26" s="36"/>
      <c r="F26" s="28"/>
      <c r="G26" s="37"/>
      <c r="K26" s="21"/>
      <c r="L26" s="21"/>
    </row>
    <row r="27" spans="1:12" x14ac:dyDescent="0.2">
      <c r="A27" s="18"/>
      <c r="B27" s="18"/>
      <c r="C27" s="18"/>
      <c r="D27" s="18"/>
      <c r="E27" s="36"/>
      <c r="F27" s="28"/>
      <c r="G27" s="37"/>
      <c r="K27" s="20"/>
      <c r="L27" s="20"/>
    </row>
    <row r="28" spans="1:12" x14ac:dyDescent="0.2">
      <c r="A28" s="18"/>
      <c r="B28" s="18"/>
      <c r="C28" s="18"/>
      <c r="D28" s="18"/>
      <c r="E28" s="36"/>
      <c r="F28" s="28"/>
      <c r="G28" s="37"/>
      <c r="K28" s="19"/>
      <c r="L28" s="20"/>
    </row>
    <row r="29" spans="1:12" x14ac:dyDescent="0.2">
      <c r="A29" s="18"/>
      <c r="B29" s="18"/>
      <c r="C29" s="18"/>
      <c r="D29" s="18"/>
      <c r="E29" s="36"/>
      <c r="F29" s="28"/>
      <c r="G29" s="37"/>
      <c r="K29" s="26"/>
      <c r="L29" s="20"/>
    </row>
    <row r="30" spans="1:12" x14ac:dyDescent="0.2">
      <c r="A30" s="18"/>
      <c r="B30" s="18"/>
      <c r="C30" s="18"/>
      <c r="D30" s="18"/>
      <c r="E30" s="36"/>
      <c r="F30" s="28"/>
      <c r="G30" s="37"/>
      <c r="K30" s="27"/>
      <c r="L30" s="20"/>
    </row>
    <row r="31" spans="1:12" x14ac:dyDescent="0.2">
      <c r="A31" s="18"/>
      <c r="B31" s="18"/>
      <c r="C31" s="18"/>
      <c r="D31" s="18"/>
      <c r="E31" s="18"/>
      <c r="F31" s="18"/>
      <c r="G31" s="18"/>
      <c r="K31" s="21"/>
      <c r="L31" s="21"/>
    </row>
    <row r="32" spans="1:12" x14ac:dyDescent="0.2">
      <c r="A32" s="18"/>
      <c r="B32" s="18"/>
      <c r="C32" s="18"/>
      <c r="D32" s="18"/>
      <c r="E32" s="18"/>
      <c r="F32" s="28"/>
      <c r="G32" s="37"/>
      <c r="K32" s="21"/>
      <c r="L32" s="21"/>
    </row>
  </sheetData>
  <mergeCells count="5">
    <mergeCell ref="B3:C3"/>
    <mergeCell ref="B4:C4"/>
    <mergeCell ref="B5:C5"/>
    <mergeCell ref="B6:C6"/>
    <mergeCell ref="G9:H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A89B7-7AB5-D348-9644-7210BDF305F1}">
  <dimension ref="A3:N32"/>
  <sheetViews>
    <sheetView workbookViewId="0">
      <selection activeCell="G25" sqref="G25"/>
    </sheetView>
  </sheetViews>
  <sheetFormatPr baseColWidth="10" defaultColWidth="8.83203125" defaultRowHeight="15" x14ac:dyDescent="0.2"/>
  <cols>
    <col min="1" max="2" width="11.5" customWidth="1"/>
    <col min="3" max="3" width="12.5" customWidth="1"/>
    <col min="4" max="4" width="14" customWidth="1"/>
    <col min="5" max="6" width="16.6640625" bestFit="1" customWidth="1"/>
    <col min="7" max="7" width="15" customWidth="1"/>
    <col min="8" max="8" width="11.33203125" customWidth="1"/>
    <col min="9" max="9" width="13.5" customWidth="1"/>
    <col min="10" max="10" width="10.6640625" customWidth="1"/>
    <col min="11" max="11" width="16" bestFit="1" customWidth="1"/>
    <col min="12" max="12" width="14.33203125" customWidth="1"/>
    <col min="13" max="13" width="10.1640625" bestFit="1" customWidth="1"/>
    <col min="15" max="15" width="12" bestFit="1" customWidth="1"/>
  </cols>
  <sheetData>
    <row r="3" spans="1:14" x14ac:dyDescent="0.2">
      <c r="A3" s="12" t="s">
        <v>18</v>
      </c>
      <c r="B3" s="42" t="s">
        <v>91</v>
      </c>
      <c r="C3" s="42"/>
      <c r="E3" s="13" t="s">
        <v>26</v>
      </c>
      <c r="F3" s="32">
        <v>10</v>
      </c>
      <c r="H3" t="s">
        <v>20</v>
      </c>
      <c r="I3" s="34">
        <v>0.48899999999999999</v>
      </c>
      <c r="J3" t="s">
        <v>8</v>
      </c>
      <c r="K3" s="34">
        <v>5.0500000000000003E-2</v>
      </c>
    </row>
    <row r="4" spans="1:14" x14ac:dyDescent="0.2">
      <c r="A4" s="15" t="s">
        <v>19</v>
      </c>
      <c r="B4" s="42"/>
      <c r="C4" s="42"/>
      <c r="E4" s="7" t="s">
        <v>10</v>
      </c>
      <c r="F4" s="32">
        <v>0.01</v>
      </c>
      <c r="G4" s="8"/>
      <c r="H4" t="s">
        <v>21</v>
      </c>
      <c r="I4" s="34">
        <v>0.50349999999999995</v>
      </c>
      <c r="J4" t="s">
        <v>9</v>
      </c>
      <c r="K4" s="34">
        <v>0.10249999999999999</v>
      </c>
    </row>
    <row r="5" spans="1:14" x14ac:dyDescent="0.2">
      <c r="A5" s="15" t="s">
        <v>7</v>
      </c>
      <c r="B5" s="43">
        <v>43296</v>
      </c>
      <c r="C5" s="42"/>
      <c r="E5" s="7" t="s">
        <v>25</v>
      </c>
      <c r="F5" s="33">
        <f>AVERAGE(I3:I6)</f>
        <v>0.4975</v>
      </c>
      <c r="G5" s="8"/>
      <c r="H5" t="s">
        <v>22</v>
      </c>
      <c r="I5" s="34">
        <v>0.501</v>
      </c>
      <c r="K5" s="17"/>
    </row>
    <row r="6" spans="1:14" x14ac:dyDescent="0.2">
      <c r="A6" s="14" t="s">
        <v>0</v>
      </c>
      <c r="B6" s="42"/>
      <c r="C6" s="42"/>
      <c r="E6" s="24" t="s">
        <v>24</v>
      </c>
      <c r="F6" s="33">
        <f>K4-K3</f>
        <v>5.1999999999999991E-2</v>
      </c>
      <c r="G6" s="25"/>
      <c r="H6" t="s">
        <v>23</v>
      </c>
      <c r="I6" s="34">
        <v>0.4965</v>
      </c>
    </row>
    <row r="7" spans="1:14" x14ac:dyDescent="0.2">
      <c r="A7" s="12"/>
      <c r="B7" s="12"/>
      <c r="C7" s="12"/>
      <c r="D7" s="12"/>
      <c r="E7" s="12"/>
      <c r="F7" s="14"/>
      <c r="G7" s="14"/>
      <c r="H7" s="22"/>
      <c r="I7" s="23"/>
    </row>
    <row r="8" spans="1:14" x14ac:dyDescent="0.2">
      <c r="G8" s="1"/>
      <c r="H8" s="1"/>
      <c r="I8" s="2"/>
    </row>
    <row r="9" spans="1:14" x14ac:dyDescent="0.2">
      <c r="A9" s="3" t="s">
        <v>17</v>
      </c>
      <c r="B9" s="3" t="s">
        <v>15</v>
      </c>
      <c r="C9" s="3" t="s">
        <v>12</v>
      </c>
      <c r="D9" s="3" t="s">
        <v>1</v>
      </c>
      <c r="E9" s="3" t="s">
        <v>2</v>
      </c>
      <c r="F9" s="4" t="s">
        <v>3</v>
      </c>
      <c r="G9" s="44" t="s">
        <v>13</v>
      </c>
      <c r="H9" s="45"/>
      <c r="I9" s="5" t="s">
        <v>4</v>
      </c>
      <c r="J9" s="5"/>
    </row>
    <row r="10" spans="1:14" ht="16" thickBot="1" x14ac:dyDescent="0.25">
      <c r="A10" s="10" t="s">
        <v>16</v>
      </c>
      <c r="B10" s="10" t="s">
        <v>14</v>
      </c>
      <c r="C10" s="10" t="s">
        <v>11</v>
      </c>
      <c r="D10" s="10"/>
      <c r="E10" s="10" t="s">
        <v>5</v>
      </c>
      <c r="F10" s="11" t="s">
        <v>5</v>
      </c>
      <c r="G10" s="9" t="s">
        <v>6</v>
      </c>
      <c r="H10" s="6"/>
    </row>
    <row r="11" spans="1:14" ht="16" thickTop="1" x14ac:dyDescent="0.2">
      <c r="A11" s="35" t="s">
        <v>45</v>
      </c>
      <c r="B11" s="35">
        <v>5</v>
      </c>
      <c r="C11" s="35">
        <v>182</v>
      </c>
      <c r="D11" s="35" t="s">
        <v>64</v>
      </c>
      <c r="E11" s="35">
        <v>142.88999999999999</v>
      </c>
      <c r="F11" s="35">
        <v>0.26050000000000001</v>
      </c>
      <c r="G11" s="29">
        <f>(((((F11-$F$6)*$F$3*$F$4*5598)/($F$5-$F$6))-1000*0.0017)/(E11-2))</f>
        <v>1.8474976179568419</v>
      </c>
      <c r="N11" s="16"/>
    </row>
    <row r="12" spans="1:14" x14ac:dyDescent="0.2">
      <c r="A12" s="35" t="s">
        <v>45</v>
      </c>
      <c r="B12" s="35">
        <v>6</v>
      </c>
      <c r="C12" s="35">
        <v>182</v>
      </c>
      <c r="D12" s="35" t="s">
        <v>65</v>
      </c>
      <c r="E12" s="35">
        <v>132.93</v>
      </c>
      <c r="F12" s="31">
        <v>0.26100000000000001</v>
      </c>
      <c r="G12" s="29">
        <f t="shared" ref="G12:G23" si="0">(((((F12-$F$6)*$F$3*$F$4*5598)/($F$5-$F$6))-1000*0.0017)/(E12-2))</f>
        <v>1.9928375637533207</v>
      </c>
      <c r="H12" s="17"/>
    </row>
    <row r="13" spans="1:14" x14ac:dyDescent="0.2">
      <c r="A13" s="35" t="s">
        <v>45</v>
      </c>
      <c r="B13" s="35">
        <v>11</v>
      </c>
      <c r="C13" s="35">
        <v>122</v>
      </c>
      <c r="D13" s="35" t="s">
        <v>66</v>
      </c>
      <c r="E13" s="35">
        <v>135.09</v>
      </c>
      <c r="F13" s="31">
        <v>0.314</v>
      </c>
      <c r="G13" s="29">
        <f t="shared" si="0"/>
        <v>2.4608926442272296</v>
      </c>
      <c r="H13" s="17"/>
    </row>
    <row r="14" spans="1:14" x14ac:dyDescent="0.2">
      <c r="A14" s="35" t="s">
        <v>45</v>
      </c>
      <c r="B14" s="35">
        <v>12</v>
      </c>
      <c r="C14" s="35">
        <v>122</v>
      </c>
      <c r="D14" s="35" t="s">
        <v>67</v>
      </c>
      <c r="E14" s="35">
        <v>143.76</v>
      </c>
      <c r="F14" s="31">
        <v>0.3695</v>
      </c>
      <c r="G14" s="29">
        <f t="shared" si="0"/>
        <v>2.8023391362838317</v>
      </c>
      <c r="H14" s="17"/>
    </row>
    <row r="15" spans="1:14" x14ac:dyDescent="0.2">
      <c r="A15" s="35" t="s">
        <v>45</v>
      </c>
      <c r="B15" s="35">
        <v>19</v>
      </c>
      <c r="C15" s="35">
        <v>42</v>
      </c>
      <c r="D15" s="35" t="s">
        <v>68</v>
      </c>
      <c r="E15" s="35">
        <v>141.41999999999999</v>
      </c>
      <c r="F15" s="31">
        <v>0.63500000000000001</v>
      </c>
      <c r="G15" s="29">
        <f t="shared" si="0"/>
        <v>5.2422735459602485</v>
      </c>
      <c r="H15" s="17"/>
      <c r="N15" s="16"/>
    </row>
    <row r="16" spans="1:14" x14ac:dyDescent="0.2">
      <c r="A16" s="35" t="s">
        <v>45</v>
      </c>
      <c r="B16" s="35">
        <v>20</v>
      </c>
      <c r="C16" s="35">
        <v>42</v>
      </c>
      <c r="D16" s="35" t="s">
        <v>69</v>
      </c>
      <c r="E16" s="35">
        <v>133.33000000000001</v>
      </c>
      <c r="F16" s="31">
        <v>0.59850000000000003</v>
      </c>
      <c r="G16" s="29">
        <f t="shared" si="0"/>
        <v>5.2159684102119179</v>
      </c>
      <c r="H16" s="17"/>
    </row>
    <row r="17" spans="1:12" x14ac:dyDescent="0.2">
      <c r="A17" s="35" t="s">
        <v>45</v>
      </c>
      <c r="B17" s="35">
        <v>23</v>
      </c>
      <c r="C17" s="35">
        <v>12</v>
      </c>
      <c r="D17" s="35" t="s">
        <v>70</v>
      </c>
      <c r="E17" s="30">
        <v>129</v>
      </c>
      <c r="F17" s="35">
        <v>0.68149999999999999</v>
      </c>
      <c r="G17" s="29">
        <f t="shared" si="0"/>
        <v>6.2150242583313453</v>
      </c>
      <c r="H17" s="17"/>
    </row>
    <row r="18" spans="1:12" x14ac:dyDescent="0.2">
      <c r="A18" s="35" t="s">
        <v>45</v>
      </c>
      <c r="B18" s="38">
        <v>24</v>
      </c>
      <c r="C18" s="35">
        <v>12</v>
      </c>
      <c r="D18" s="35" t="s">
        <v>71</v>
      </c>
      <c r="E18" s="35">
        <v>131.11000000000001</v>
      </c>
      <c r="F18" s="31">
        <v>0.6845</v>
      </c>
      <c r="G18" s="29">
        <f t="shared" si="0"/>
        <v>6.1426518300501725</v>
      </c>
    </row>
    <row r="19" spans="1:12" x14ac:dyDescent="0.2">
      <c r="A19" s="18"/>
      <c r="B19" s="18"/>
      <c r="C19" s="18"/>
      <c r="D19" s="18"/>
      <c r="E19" s="36"/>
      <c r="F19" s="28"/>
      <c r="G19" s="37"/>
    </row>
    <row r="20" spans="1:12" x14ac:dyDescent="0.2">
      <c r="A20" s="18" t="s">
        <v>46</v>
      </c>
      <c r="B20" s="35">
        <v>3</v>
      </c>
      <c r="C20" s="35">
        <v>2702</v>
      </c>
      <c r="D20" s="35" t="s">
        <v>72</v>
      </c>
      <c r="E20" s="30">
        <v>141.69999999999999</v>
      </c>
      <c r="F20" s="31">
        <v>0.25900000000000001</v>
      </c>
      <c r="G20" s="29">
        <f t="shared" si="0"/>
        <v>1.8497429556842588</v>
      </c>
    </row>
    <row r="21" spans="1:12" x14ac:dyDescent="0.2">
      <c r="A21" s="18" t="s">
        <v>46</v>
      </c>
      <c r="B21" s="35">
        <v>6</v>
      </c>
      <c r="C21" s="35">
        <v>2702</v>
      </c>
      <c r="D21" s="35" t="s">
        <v>73</v>
      </c>
      <c r="E21" s="35">
        <v>131.65</v>
      </c>
      <c r="F21" s="31">
        <v>0.215</v>
      </c>
      <c r="G21" s="29">
        <f t="shared" si="0"/>
        <v>1.5666810799861324</v>
      </c>
    </row>
    <row r="22" spans="1:12" x14ac:dyDescent="0.2">
      <c r="A22" s="18" t="s">
        <v>46</v>
      </c>
      <c r="B22" s="35">
        <v>5</v>
      </c>
      <c r="C22" s="35">
        <v>2502</v>
      </c>
      <c r="D22" s="35" t="s">
        <v>74</v>
      </c>
      <c r="E22" s="35">
        <v>132.77000000000001</v>
      </c>
      <c r="F22" s="31">
        <v>0.23549999999999999</v>
      </c>
      <c r="G22" s="29">
        <f t="shared" si="0"/>
        <v>1.7502469830985548</v>
      </c>
    </row>
    <row r="23" spans="1:12" x14ac:dyDescent="0.2">
      <c r="A23" s="18" t="s">
        <v>46</v>
      </c>
      <c r="B23" s="35">
        <v>4</v>
      </c>
      <c r="C23" s="35">
        <v>2502</v>
      </c>
      <c r="D23" s="35" t="s">
        <v>75</v>
      </c>
      <c r="E23" s="35">
        <v>123.78</v>
      </c>
      <c r="F23" s="31">
        <v>0.26650000000000001</v>
      </c>
      <c r="G23" s="29">
        <f t="shared" si="0"/>
        <v>2.1993211802704331</v>
      </c>
    </row>
    <row r="24" spans="1:12" x14ac:dyDescent="0.2">
      <c r="A24" s="18"/>
      <c r="B24" s="18"/>
      <c r="C24" s="18"/>
      <c r="D24" s="18"/>
      <c r="E24" s="36"/>
      <c r="F24" s="28"/>
      <c r="G24" s="37"/>
    </row>
    <row r="25" spans="1:12" x14ac:dyDescent="0.2">
      <c r="A25" s="18" t="s">
        <v>47</v>
      </c>
      <c r="B25" s="35">
        <v>9</v>
      </c>
      <c r="C25" s="35">
        <v>141</v>
      </c>
      <c r="D25" s="35" t="s">
        <v>76</v>
      </c>
      <c r="E25" s="35">
        <v>139.58000000000001</v>
      </c>
      <c r="F25" s="31">
        <v>0.32700000000000001</v>
      </c>
      <c r="G25" s="29">
        <f t="shared" ref="G25:G32" si="1">(((((F25-$F$6)*$F$3*$F$4*5598)/($F$5-$F$6))-1000*0.0017)/(E25-2))</f>
        <v>2.4993135307134433</v>
      </c>
      <c r="K25" s="21"/>
      <c r="L25" s="21"/>
    </row>
    <row r="26" spans="1:12" x14ac:dyDescent="0.2">
      <c r="A26" s="18" t="s">
        <v>47</v>
      </c>
      <c r="B26" s="35">
        <v>9</v>
      </c>
      <c r="C26" s="35">
        <v>141</v>
      </c>
      <c r="D26" s="35" t="s">
        <v>77</v>
      </c>
      <c r="E26" s="35">
        <v>126.87</v>
      </c>
      <c r="F26" s="31">
        <v>0.3105</v>
      </c>
      <c r="G26" s="29">
        <f t="shared" si="1"/>
        <v>2.5876689534894068</v>
      </c>
      <c r="K26" s="21"/>
      <c r="L26" s="21"/>
    </row>
    <row r="27" spans="1:12" x14ac:dyDescent="0.2">
      <c r="A27" s="18" t="s">
        <v>47</v>
      </c>
      <c r="B27" s="35">
        <v>10</v>
      </c>
      <c r="C27" s="35">
        <v>141</v>
      </c>
      <c r="D27" s="35" t="s">
        <v>78</v>
      </c>
      <c r="E27" s="35">
        <v>130.01</v>
      </c>
      <c r="F27" s="31">
        <v>0.307</v>
      </c>
      <c r="G27" s="29">
        <f t="shared" si="1"/>
        <v>2.4898386252967928</v>
      </c>
      <c r="K27" s="20"/>
      <c r="L27" s="20"/>
    </row>
    <row r="28" spans="1:12" x14ac:dyDescent="0.2">
      <c r="A28" s="18" t="s">
        <v>47</v>
      </c>
      <c r="B28" s="35">
        <v>10</v>
      </c>
      <c r="C28" s="35">
        <v>141</v>
      </c>
      <c r="D28" s="35" t="s">
        <v>79</v>
      </c>
      <c r="E28" s="35">
        <v>126.22</v>
      </c>
      <c r="F28" s="31">
        <v>0.29599999999999999</v>
      </c>
      <c r="G28" s="29">
        <f t="shared" si="1"/>
        <v>2.4545324440671412</v>
      </c>
      <c r="K28" s="19"/>
      <c r="L28" s="20"/>
    </row>
    <row r="29" spans="1:12" x14ac:dyDescent="0.2">
      <c r="A29" s="18" t="s">
        <v>47</v>
      </c>
      <c r="B29" s="35">
        <v>11</v>
      </c>
      <c r="C29" s="35">
        <v>122</v>
      </c>
      <c r="D29" s="35" t="s">
        <v>80</v>
      </c>
      <c r="E29" s="35">
        <v>130.71</v>
      </c>
      <c r="F29" s="31">
        <v>0.3125</v>
      </c>
      <c r="G29" s="29">
        <f t="shared" si="1"/>
        <v>2.5299926465337079</v>
      </c>
      <c r="K29" s="26"/>
      <c r="L29" s="20"/>
    </row>
    <row r="30" spans="1:12" x14ac:dyDescent="0.2">
      <c r="A30" s="18" t="s">
        <v>47</v>
      </c>
      <c r="B30" s="35">
        <v>11</v>
      </c>
      <c r="C30" s="35">
        <v>122</v>
      </c>
      <c r="D30" s="35" t="s">
        <v>81</v>
      </c>
      <c r="E30" s="35">
        <v>143.88</v>
      </c>
      <c r="F30" s="31">
        <v>0.34350000000000003</v>
      </c>
      <c r="G30" s="29">
        <f t="shared" si="1"/>
        <v>2.5696989631300324</v>
      </c>
      <c r="K30" s="27"/>
      <c r="L30" s="20"/>
    </row>
    <row r="31" spans="1:12" x14ac:dyDescent="0.2">
      <c r="A31" s="18" t="s">
        <v>47</v>
      </c>
      <c r="B31" s="35">
        <v>12</v>
      </c>
      <c r="C31" s="35">
        <v>122</v>
      </c>
      <c r="D31" s="35" t="s">
        <v>82</v>
      </c>
      <c r="E31" s="35">
        <v>130.94999999999999</v>
      </c>
      <c r="F31" s="31">
        <v>0.314</v>
      </c>
      <c r="G31" s="29">
        <f t="shared" si="1"/>
        <v>2.5399007523862123</v>
      </c>
      <c r="K31" s="21"/>
      <c r="L31" s="21"/>
    </row>
    <row r="32" spans="1:12" x14ac:dyDescent="0.2">
      <c r="A32" s="18" t="s">
        <v>47</v>
      </c>
      <c r="B32" s="35">
        <v>12</v>
      </c>
      <c r="C32" s="35">
        <v>122</v>
      </c>
      <c r="D32" s="35" t="s">
        <v>83</v>
      </c>
      <c r="E32" s="35">
        <v>130.77000000000001</v>
      </c>
      <c r="F32" s="31">
        <v>0.3145</v>
      </c>
      <c r="G32" s="29">
        <f t="shared" si="1"/>
        <v>2.54833023878609</v>
      </c>
      <c r="K32" s="21"/>
      <c r="L32" s="21"/>
    </row>
  </sheetData>
  <mergeCells count="5">
    <mergeCell ref="B3:C3"/>
    <mergeCell ref="B4:C4"/>
    <mergeCell ref="B5:C5"/>
    <mergeCell ref="B6:C6"/>
    <mergeCell ref="G9:H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E51CF-8611-BF42-8CA8-516305C22C6B}">
  <dimension ref="A3:N32"/>
  <sheetViews>
    <sheetView workbookViewId="0">
      <selection activeCell="G15" sqref="G15:G16"/>
    </sheetView>
  </sheetViews>
  <sheetFormatPr baseColWidth="10" defaultColWidth="8.83203125" defaultRowHeight="15" x14ac:dyDescent="0.2"/>
  <cols>
    <col min="1" max="2" width="11.5" customWidth="1"/>
    <col min="3" max="3" width="12.5" customWidth="1"/>
    <col min="4" max="4" width="14" customWidth="1"/>
    <col min="5" max="6" width="16.6640625" bestFit="1" customWidth="1"/>
    <col min="7" max="7" width="15" customWidth="1"/>
    <col min="8" max="8" width="11.33203125" customWidth="1"/>
    <col min="9" max="9" width="13.5" customWidth="1"/>
    <col min="10" max="10" width="10.6640625" customWidth="1"/>
    <col min="11" max="11" width="16" bestFit="1" customWidth="1"/>
    <col min="12" max="12" width="14.33203125" customWidth="1"/>
    <col min="13" max="13" width="10.1640625" bestFit="1" customWidth="1"/>
    <col min="15" max="15" width="12" bestFit="1" customWidth="1"/>
  </cols>
  <sheetData>
    <row r="3" spans="1:14" x14ac:dyDescent="0.2">
      <c r="A3" s="12" t="s">
        <v>18</v>
      </c>
      <c r="B3" s="42" t="s">
        <v>92</v>
      </c>
      <c r="C3" s="42"/>
      <c r="E3" s="13" t="s">
        <v>26</v>
      </c>
      <c r="F3" s="32">
        <v>10</v>
      </c>
      <c r="H3" t="s">
        <v>20</v>
      </c>
      <c r="I3" s="34">
        <v>0.498</v>
      </c>
      <c r="J3" t="s">
        <v>8</v>
      </c>
      <c r="K3" s="34">
        <v>5.0500000000000003E-2</v>
      </c>
    </row>
    <row r="4" spans="1:14" x14ac:dyDescent="0.2">
      <c r="A4" s="15" t="s">
        <v>19</v>
      </c>
      <c r="B4" s="42"/>
      <c r="C4" s="42"/>
      <c r="E4" s="7" t="s">
        <v>10</v>
      </c>
      <c r="F4" s="32">
        <v>0.01</v>
      </c>
      <c r="G4" s="8"/>
      <c r="H4" t="s">
        <v>21</v>
      </c>
      <c r="I4" s="34">
        <v>0.52049999999999996</v>
      </c>
      <c r="J4" t="s">
        <v>9</v>
      </c>
      <c r="K4" s="34">
        <v>0.10150000000000001</v>
      </c>
    </row>
    <row r="5" spans="1:14" x14ac:dyDescent="0.2">
      <c r="A5" s="15" t="s">
        <v>7</v>
      </c>
      <c r="B5" s="43">
        <v>43299</v>
      </c>
      <c r="C5" s="42"/>
      <c r="E5" s="7" t="s">
        <v>25</v>
      </c>
      <c r="F5" s="33">
        <f>AVERAGE(I3:I8)</f>
        <v>0.5053333333333333</v>
      </c>
      <c r="G5" s="8"/>
      <c r="H5" t="s">
        <v>22</v>
      </c>
      <c r="I5" s="34">
        <v>0.495</v>
      </c>
      <c r="K5" s="17"/>
    </row>
    <row r="6" spans="1:14" x14ac:dyDescent="0.2">
      <c r="A6" s="14" t="s">
        <v>0</v>
      </c>
      <c r="B6" s="42"/>
      <c r="C6" s="42"/>
      <c r="E6" s="24" t="s">
        <v>24</v>
      </c>
      <c r="F6" s="33">
        <f>K4-K3</f>
        <v>5.1000000000000004E-2</v>
      </c>
      <c r="G6" s="25"/>
      <c r="H6" t="s">
        <v>23</v>
      </c>
      <c r="I6" s="34">
        <v>0.51</v>
      </c>
    </row>
    <row r="7" spans="1:14" x14ac:dyDescent="0.2">
      <c r="A7" s="12"/>
      <c r="B7" s="12"/>
      <c r="C7" s="12"/>
      <c r="D7" s="12"/>
      <c r="E7" s="12"/>
      <c r="F7" s="14"/>
      <c r="G7" s="14"/>
      <c r="H7" t="s">
        <v>48</v>
      </c>
      <c r="I7" s="34">
        <v>0.505</v>
      </c>
    </row>
    <row r="8" spans="1:14" x14ac:dyDescent="0.2">
      <c r="G8" s="1"/>
      <c r="H8" t="s">
        <v>49</v>
      </c>
      <c r="I8" s="34">
        <v>0.50349999999999995</v>
      </c>
    </row>
    <row r="9" spans="1:14" x14ac:dyDescent="0.2">
      <c r="A9" s="3" t="s">
        <v>17</v>
      </c>
      <c r="B9" s="3" t="s">
        <v>15</v>
      </c>
      <c r="C9" s="3" t="s">
        <v>12</v>
      </c>
      <c r="D9" s="3" t="s">
        <v>1</v>
      </c>
      <c r="E9" s="3" t="s">
        <v>2</v>
      </c>
      <c r="F9" s="4" t="s">
        <v>3</v>
      </c>
      <c r="G9" s="44" t="s">
        <v>13</v>
      </c>
      <c r="H9" s="45"/>
      <c r="I9" s="5" t="s">
        <v>4</v>
      </c>
      <c r="J9" s="5"/>
    </row>
    <row r="10" spans="1:14" ht="16" thickBot="1" x14ac:dyDescent="0.25">
      <c r="A10" s="10" t="s">
        <v>16</v>
      </c>
      <c r="B10" s="10" t="s">
        <v>14</v>
      </c>
      <c r="C10" s="10" t="s">
        <v>11</v>
      </c>
      <c r="D10" s="10"/>
      <c r="E10" s="10" t="s">
        <v>5</v>
      </c>
      <c r="F10" s="11" t="s">
        <v>5</v>
      </c>
      <c r="G10" s="9" t="s">
        <v>6</v>
      </c>
      <c r="H10" s="6"/>
    </row>
    <row r="11" spans="1:14" ht="16" thickTop="1" x14ac:dyDescent="0.2">
      <c r="A11" s="35" t="s">
        <v>50</v>
      </c>
      <c r="B11" s="35">
        <v>9</v>
      </c>
      <c r="C11" s="35">
        <v>141</v>
      </c>
      <c r="D11" s="35" t="s">
        <v>70</v>
      </c>
      <c r="E11" s="30">
        <v>129</v>
      </c>
      <c r="F11" s="31">
        <v>0.28249999999999997</v>
      </c>
      <c r="G11" s="29">
        <f>(((((F11-$F$6)*$F$3*$F$4*5598)/($F$5-$F$6))-1000*0.0017)/(E11-2))</f>
        <v>2.2325925326832317</v>
      </c>
      <c r="N11" s="16"/>
    </row>
    <row r="12" spans="1:14" x14ac:dyDescent="0.2">
      <c r="A12" s="35" t="s">
        <v>50</v>
      </c>
      <c r="B12" s="35">
        <v>10</v>
      </c>
      <c r="C12" s="35">
        <v>141</v>
      </c>
      <c r="D12" s="35" t="s">
        <v>65</v>
      </c>
      <c r="E12" s="30">
        <v>132.93</v>
      </c>
      <c r="F12" s="31">
        <v>0.29649999999999999</v>
      </c>
      <c r="G12" s="29">
        <f t="shared" ref="G12:G16" si="0">(((((F12-$F$6)*$F$3*$F$4*5598)/($F$5-$F$6))-1000*0.0017)/(E12-2))</f>
        <v>2.2973278973452462</v>
      </c>
      <c r="H12" s="17"/>
    </row>
    <row r="13" spans="1:14" x14ac:dyDescent="0.2">
      <c r="A13" s="35" t="s">
        <v>50</v>
      </c>
      <c r="B13" s="35">
        <v>11</v>
      </c>
      <c r="C13" s="35">
        <v>121</v>
      </c>
      <c r="D13" s="35" t="s">
        <v>66</v>
      </c>
      <c r="E13" s="30">
        <v>135.09</v>
      </c>
      <c r="F13" s="31">
        <v>0.29149999999999998</v>
      </c>
      <c r="G13" s="29">
        <f t="shared" si="0"/>
        <v>2.2137535999530771</v>
      </c>
      <c r="H13" s="17"/>
    </row>
    <row r="14" spans="1:14" x14ac:dyDescent="0.2">
      <c r="A14" s="35" t="s">
        <v>50</v>
      </c>
      <c r="B14" s="35">
        <v>12</v>
      </c>
      <c r="C14" s="35">
        <v>121</v>
      </c>
      <c r="D14" s="35" t="s">
        <v>67</v>
      </c>
      <c r="E14" s="30">
        <v>143.46</v>
      </c>
      <c r="F14" s="31">
        <v>0.31</v>
      </c>
      <c r="G14" s="29">
        <f t="shared" si="0"/>
        <v>2.2439061505011306</v>
      </c>
      <c r="H14" s="17"/>
    </row>
    <row r="15" spans="1:14" x14ac:dyDescent="0.2">
      <c r="A15" s="35" t="s">
        <v>50</v>
      </c>
      <c r="B15" s="35">
        <v>21</v>
      </c>
      <c r="C15" s="35">
        <v>22</v>
      </c>
      <c r="D15" s="35" t="s">
        <v>68</v>
      </c>
      <c r="E15" s="30">
        <v>141.41999999999999</v>
      </c>
      <c r="F15" s="31">
        <v>0.72399999999999998</v>
      </c>
      <c r="G15" s="29">
        <f t="shared" si="0"/>
        <v>5.9354960015147133</v>
      </c>
      <c r="H15" s="17"/>
      <c r="N15" s="16"/>
    </row>
    <row r="16" spans="1:14" x14ac:dyDescent="0.2">
      <c r="A16" s="35" t="s">
        <v>50</v>
      </c>
      <c r="B16" s="35">
        <v>22</v>
      </c>
      <c r="C16" s="35">
        <v>22</v>
      </c>
      <c r="D16" s="35" t="s">
        <v>69</v>
      </c>
      <c r="E16" s="30">
        <v>133.33000000000001</v>
      </c>
      <c r="F16" s="31">
        <v>0.66649999999999998</v>
      </c>
      <c r="G16" s="29">
        <f t="shared" si="0"/>
        <v>5.7616621506290482</v>
      </c>
      <c r="H16" s="17"/>
    </row>
    <row r="17" spans="1:12" x14ac:dyDescent="0.2">
      <c r="A17" s="18"/>
      <c r="B17" s="18"/>
      <c r="C17" s="18"/>
      <c r="D17" s="18"/>
      <c r="E17" s="36"/>
      <c r="F17" s="18"/>
      <c r="G17" s="37"/>
      <c r="H17" s="17"/>
    </row>
    <row r="18" spans="1:12" x14ac:dyDescent="0.2">
      <c r="A18" s="18"/>
      <c r="B18" s="41"/>
      <c r="C18" s="17"/>
      <c r="D18" s="17"/>
      <c r="E18" s="17"/>
      <c r="F18" s="40"/>
      <c r="G18" s="37"/>
    </row>
    <row r="19" spans="1:12" x14ac:dyDescent="0.2">
      <c r="A19" s="18"/>
      <c r="B19" s="17"/>
      <c r="C19" s="17"/>
      <c r="D19" s="17"/>
      <c r="E19" s="39"/>
      <c r="F19" s="40"/>
      <c r="G19" s="37"/>
    </row>
    <row r="20" spans="1:12" x14ac:dyDescent="0.2">
      <c r="A20" s="18"/>
      <c r="B20" s="17"/>
      <c r="C20" s="17"/>
      <c r="D20" s="17"/>
      <c r="E20" s="17"/>
      <c r="F20" s="40"/>
      <c r="G20" s="37"/>
    </row>
    <row r="21" spans="1:12" x14ac:dyDescent="0.2">
      <c r="A21" s="18"/>
      <c r="B21" s="17"/>
      <c r="C21" s="17"/>
      <c r="D21" s="17"/>
      <c r="E21" s="17"/>
      <c r="F21" s="40"/>
      <c r="G21" s="37"/>
    </row>
    <row r="22" spans="1:12" x14ac:dyDescent="0.2">
      <c r="A22" s="18"/>
      <c r="B22" s="17"/>
      <c r="C22" s="17"/>
      <c r="D22" s="17"/>
      <c r="E22" s="17"/>
      <c r="F22" s="40"/>
      <c r="G22" s="37"/>
    </row>
    <row r="23" spans="1:12" x14ac:dyDescent="0.2">
      <c r="A23" s="18"/>
      <c r="B23" s="17"/>
      <c r="C23" s="17"/>
      <c r="D23" s="17"/>
      <c r="E23" s="17"/>
      <c r="F23" s="40"/>
      <c r="G23" s="37"/>
    </row>
    <row r="24" spans="1:12" x14ac:dyDescent="0.2">
      <c r="A24" s="18"/>
      <c r="B24" s="18"/>
      <c r="C24" s="18"/>
      <c r="D24" s="18"/>
      <c r="E24" s="36"/>
      <c r="F24" s="28"/>
      <c r="G24" s="37"/>
    </row>
    <row r="25" spans="1:12" x14ac:dyDescent="0.2">
      <c r="A25" s="18"/>
      <c r="B25" s="17"/>
      <c r="C25" s="17"/>
      <c r="D25" s="17"/>
      <c r="E25" s="17"/>
      <c r="F25" s="40"/>
      <c r="G25" s="37"/>
      <c r="K25" s="21"/>
      <c r="L25" s="21"/>
    </row>
    <row r="26" spans="1:12" x14ac:dyDescent="0.2">
      <c r="A26" s="18"/>
      <c r="B26" s="17"/>
      <c r="C26" s="17"/>
      <c r="D26" s="17"/>
      <c r="E26" s="17"/>
      <c r="F26" s="40"/>
      <c r="G26" s="37"/>
      <c r="K26" s="21"/>
      <c r="L26" s="21"/>
    </row>
    <row r="27" spans="1:12" x14ac:dyDescent="0.2">
      <c r="A27" s="18"/>
      <c r="B27" s="17"/>
      <c r="C27" s="17"/>
      <c r="D27" s="17"/>
      <c r="E27" s="17"/>
      <c r="F27" s="40"/>
      <c r="G27" s="37"/>
      <c r="K27" s="20"/>
      <c r="L27" s="20"/>
    </row>
    <row r="28" spans="1:12" x14ac:dyDescent="0.2">
      <c r="A28" s="18"/>
      <c r="B28" s="17"/>
      <c r="C28" s="17"/>
      <c r="D28" s="17"/>
      <c r="E28" s="17"/>
      <c r="F28" s="40"/>
      <c r="G28" s="37"/>
      <c r="K28" s="19"/>
      <c r="L28" s="20"/>
    </row>
    <row r="29" spans="1:12" x14ac:dyDescent="0.2">
      <c r="A29" s="18"/>
      <c r="B29" s="17"/>
      <c r="C29" s="17"/>
      <c r="D29" s="17"/>
      <c r="E29" s="17"/>
      <c r="F29" s="40"/>
      <c r="G29" s="37"/>
      <c r="K29" s="26"/>
      <c r="L29" s="20"/>
    </row>
    <row r="30" spans="1:12" x14ac:dyDescent="0.2">
      <c r="A30" s="18"/>
      <c r="B30" s="17"/>
      <c r="C30" s="17"/>
      <c r="D30" s="17"/>
      <c r="E30" s="17"/>
      <c r="F30" s="40"/>
      <c r="G30" s="37"/>
      <c r="K30" s="27"/>
      <c r="L30" s="20"/>
    </row>
    <row r="31" spans="1:12" x14ac:dyDescent="0.2">
      <c r="A31" s="18"/>
      <c r="B31" s="17"/>
      <c r="C31" s="17"/>
      <c r="D31" s="17"/>
      <c r="E31" s="17"/>
      <c r="F31" s="40"/>
      <c r="G31" s="37"/>
      <c r="K31" s="21"/>
      <c r="L31" s="21"/>
    </row>
    <row r="32" spans="1:12" x14ac:dyDescent="0.2">
      <c r="A32" s="18"/>
      <c r="B32" s="17"/>
      <c r="C32" s="17"/>
      <c r="D32" s="17"/>
      <c r="E32" s="17"/>
      <c r="F32" s="40"/>
      <c r="G32" s="37"/>
      <c r="K32" s="21"/>
      <c r="L32" s="21"/>
    </row>
  </sheetData>
  <mergeCells count="5">
    <mergeCell ref="B3:C3"/>
    <mergeCell ref="B4:C4"/>
    <mergeCell ref="B5:C5"/>
    <mergeCell ref="B6:C6"/>
    <mergeCell ref="G9:H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1FE90-412F-F643-89EF-35B7BEE28EE7}">
  <dimension ref="A3:N40"/>
  <sheetViews>
    <sheetView workbookViewId="0">
      <selection activeCell="G30" sqref="G30:G34"/>
    </sheetView>
  </sheetViews>
  <sheetFormatPr baseColWidth="10" defaultColWidth="8.83203125" defaultRowHeight="15" x14ac:dyDescent="0.2"/>
  <cols>
    <col min="1" max="2" width="11.5" customWidth="1"/>
    <col min="3" max="3" width="12.5" customWidth="1"/>
    <col min="4" max="4" width="14" customWidth="1"/>
    <col min="5" max="6" width="16.6640625" bestFit="1" customWidth="1"/>
    <col min="7" max="7" width="15" customWidth="1"/>
    <col min="8" max="8" width="11.33203125" customWidth="1"/>
    <col min="9" max="9" width="13.5" customWidth="1"/>
    <col min="10" max="10" width="10.6640625" customWidth="1"/>
    <col min="11" max="11" width="16" bestFit="1" customWidth="1"/>
    <col min="12" max="12" width="14.33203125" customWidth="1"/>
    <col min="13" max="13" width="10.1640625" bestFit="1" customWidth="1"/>
    <col min="15" max="15" width="12" bestFit="1" customWidth="1"/>
  </cols>
  <sheetData>
    <row r="3" spans="1:14" x14ac:dyDescent="0.2">
      <c r="A3" s="12" t="s">
        <v>18</v>
      </c>
      <c r="B3" s="42" t="s">
        <v>93</v>
      </c>
      <c r="C3" s="42"/>
      <c r="E3" s="13" t="s">
        <v>26</v>
      </c>
      <c r="F3" s="32">
        <v>10</v>
      </c>
      <c r="H3" t="s">
        <v>20</v>
      </c>
      <c r="I3" s="34">
        <v>0.4995</v>
      </c>
      <c r="J3" t="s">
        <v>8</v>
      </c>
      <c r="K3" s="34">
        <v>5.0500000000000003E-2</v>
      </c>
    </row>
    <row r="4" spans="1:14" x14ac:dyDescent="0.2">
      <c r="A4" s="15" t="s">
        <v>19</v>
      </c>
      <c r="B4" s="42"/>
      <c r="C4" s="42"/>
      <c r="E4" s="7" t="s">
        <v>10</v>
      </c>
      <c r="F4" s="32">
        <v>0.01</v>
      </c>
      <c r="G4" s="8"/>
      <c r="H4" t="s">
        <v>21</v>
      </c>
      <c r="I4" s="34">
        <v>0.50349999999999995</v>
      </c>
      <c r="J4" t="s">
        <v>9</v>
      </c>
      <c r="K4" s="34">
        <v>0.10199999999999999</v>
      </c>
    </row>
    <row r="5" spans="1:14" x14ac:dyDescent="0.2">
      <c r="A5" s="15" t="s">
        <v>7</v>
      </c>
      <c r="B5" s="43">
        <v>43306</v>
      </c>
      <c r="C5" s="42"/>
      <c r="E5" s="7" t="s">
        <v>25</v>
      </c>
      <c r="F5" s="33">
        <f>AVERAGE(I3:I6)</f>
        <v>0.50066666666666659</v>
      </c>
      <c r="G5" s="8"/>
      <c r="H5" t="s">
        <v>22</v>
      </c>
      <c r="I5" s="34">
        <v>0.499</v>
      </c>
      <c r="K5" s="17"/>
    </row>
    <row r="6" spans="1:14" x14ac:dyDescent="0.2">
      <c r="A6" s="14" t="s">
        <v>0</v>
      </c>
      <c r="B6" s="42"/>
      <c r="C6" s="42"/>
      <c r="E6" s="24" t="s">
        <v>24</v>
      </c>
      <c r="F6" s="33">
        <f>K4-K3</f>
        <v>5.149999999999999E-2</v>
      </c>
      <c r="G6" s="25"/>
      <c r="H6" t="s">
        <v>23</v>
      </c>
      <c r="I6" s="34"/>
    </row>
    <row r="7" spans="1:14" x14ac:dyDescent="0.2">
      <c r="A7" s="12"/>
      <c r="B7" s="12"/>
      <c r="C7" s="12"/>
      <c r="D7" s="12"/>
      <c r="E7" s="12"/>
      <c r="F7" s="14"/>
      <c r="G7" s="14"/>
      <c r="H7" s="17"/>
      <c r="I7" s="28"/>
    </row>
    <row r="8" spans="1:14" x14ac:dyDescent="0.2">
      <c r="G8" s="1"/>
      <c r="H8" s="17"/>
      <c r="I8" s="28"/>
    </row>
    <row r="9" spans="1:14" x14ac:dyDescent="0.2">
      <c r="A9" s="3" t="s">
        <v>17</v>
      </c>
      <c r="B9" s="3" t="s">
        <v>15</v>
      </c>
      <c r="C9" s="3" t="s">
        <v>12</v>
      </c>
      <c r="D9" s="3" t="s">
        <v>1</v>
      </c>
      <c r="E9" s="3" t="s">
        <v>2</v>
      </c>
      <c r="F9" s="4" t="s">
        <v>3</v>
      </c>
      <c r="G9" s="44" t="s">
        <v>13</v>
      </c>
      <c r="H9" s="45"/>
      <c r="I9" s="5" t="s">
        <v>4</v>
      </c>
      <c r="J9" s="5"/>
    </row>
    <row r="10" spans="1:14" ht="16" thickBot="1" x14ac:dyDescent="0.25">
      <c r="A10" s="10" t="s">
        <v>16</v>
      </c>
      <c r="B10" s="10" t="s">
        <v>14</v>
      </c>
      <c r="C10" s="10" t="s">
        <v>11</v>
      </c>
      <c r="D10" s="10"/>
      <c r="E10" s="10" t="s">
        <v>5</v>
      </c>
      <c r="F10" s="11" t="s">
        <v>5</v>
      </c>
      <c r="G10" s="9" t="s">
        <v>6</v>
      </c>
      <c r="H10" s="6"/>
    </row>
    <row r="11" spans="1:14" ht="16" thickTop="1" x14ac:dyDescent="0.2">
      <c r="A11" s="35" t="s">
        <v>51</v>
      </c>
      <c r="B11" s="35" t="s">
        <v>63</v>
      </c>
      <c r="C11" s="35">
        <v>396</v>
      </c>
      <c r="D11" s="35" t="s">
        <v>70</v>
      </c>
      <c r="E11" s="30">
        <v>129</v>
      </c>
      <c r="F11" s="31">
        <v>0.16650000000000001</v>
      </c>
      <c r="G11" s="29">
        <f>(((((F11-$F$6)*$F$3*$F$4*5598)/($F$5-$F$6))-1000*0.0017)/(E11-2))</f>
        <v>1.1151607672417574</v>
      </c>
      <c r="N11" s="16"/>
    </row>
    <row r="12" spans="1:14" x14ac:dyDescent="0.2">
      <c r="A12" s="35" t="s">
        <v>51</v>
      </c>
      <c r="B12" s="35" t="s">
        <v>63</v>
      </c>
      <c r="C12" s="35">
        <v>396</v>
      </c>
      <c r="D12" s="35" t="s">
        <v>66</v>
      </c>
      <c r="E12" s="30">
        <v>135.09</v>
      </c>
      <c r="F12" s="31">
        <v>0.17399999999999999</v>
      </c>
      <c r="G12" s="29">
        <f t="shared" ref="G12:G23" si="0">(((((F12-$F$6)*$F$3*$F$4*5598)/($F$5-$F$6))-1000*0.0017)/(E12-2))</f>
        <v>1.1343656718966664</v>
      </c>
      <c r="H12" s="17"/>
    </row>
    <row r="13" spans="1:14" x14ac:dyDescent="0.2">
      <c r="A13" s="35" t="s">
        <v>51</v>
      </c>
      <c r="B13" s="35" t="s">
        <v>28</v>
      </c>
      <c r="C13" s="35">
        <v>396</v>
      </c>
      <c r="D13" s="35" t="s">
        <v>68</v>
      </c>
      <c r="E13" s="30">
        <v>141.41999999999999</v>
      </c>
      <c r="F13" s="31">
        <v>0.18099999999999999</v>
      </c>
      <c r="G13" s="29">
        <f t="shared" si="0"/>
        <v>1.1454374058017729</v>
      </c>
      <c r="H13" s="17"/>
    </row>
    <row r="14" spans="1:14" x14ac:dyDescent="0.2">
      <c r="A14" s="35" t="s">
        <v>51</v>
      </c>
      <c r="B14" s="35" t="s">
        <v>28</v>
      </c>
      <c r="C14" s="35">
        <v>396</v>
      </c>
      <c r="D14" s="35" t="s">
        <v>65</v>
      </c>
      <c r="E14" s="30">
        <v>132.93</v>
      </c>
      <c r="F14" s="31">
        <v>0.20300000000000001</v>
      </c>
      <c r="G14" s="29">
        <f t="shared" si="0"/>
        <v>1.4291274622094801</v>
      </c>
      <c r="H14" s="17"/>
    </row>
    <row r="15" spans="1:14" x14ac:dyDescent="0.2">
      <c r="A15" s="18"/>
      <c r="B15" s="35"/>
      <c r="C15" s="35"/>
      <c r="D15" s="35"/>
      <c r="E15" s="30"/>
      <c r="F15" s="31"/>
      <c r="G15" s="37"/>
      <c r="H15" s="17"/>
      <c r="N15" s="16"/>
    </row>
    <row r="16" spans="1:14" x14ac:dyDescent="0.2">
      <c r="A16" s="18" t="s">
        <v>52</v>
      </c>
      <c r="B16" s="35">
        <v>3</v>
      </c>
      <c r="C16" s="35">
        <v>552</v>
      </c>
      <c r="D16" s="35" t="s">
        <v>67</v>
      </c>
      <c r="E16" s="30">
        <v>143.76</v>
      </c>
      <c r="F16" s="31">
        <v>6.5500000000000003E-2</v>
      </c>
      <c r="G16" s="29">
        <f t="shared" si="0"/>
        <v>0.1110913634897835</v>
      </c>
      <c r="H16" s="17"/>
    </row>
    <row r="17" spans="1:12" x14ac:dyDescent="0.2">
      <c r="A17" s="18" t="s">
        <v>52</v>
      </c>
      <c r="B17" s="35">
        <v>4</v>
      </c>
      <c r="C17" s="35">
        <v>552</v>
      </c>
      <c r="D17" s="35" t="s">
        <v>69</v>
      </c>
      <c r="E17" s="30">
        <v>133.33000000000001</v>
      </c>
      <c r="F17" s="31">
        <v>5.8000000000000003E-2</v>
      </c>
      <c r="G17" s="29">
        <f t="shared" si="0"/>
        <v>4.8739829858277517E-2</v>
      </c>
      <c r="H17" s="17"/>
    </row>
    <row r="18" spans="1:12" x14ac:dyDescent="0.2">
      <c r="A18" s="18" t="s">
        <v>52</v>
      </c>
      <c r="B18" s="35">
        <v>5</v>
      </c>
      <c r="C18" s="35">
        <v>502</v>
      </c>
      <c r="D18" s="35" t="s">
        <v>71</v>
      </c>
      <c r="E18" s="30">
        <v>131.11000000000001</v>
      </c>
      <c r="F18" s="31">
        <v>8.4000000000000005E-2</v>
      </c>
      <c r="G18" s="29">
        <f t="shared" si="0"/>
        <v>0.30055773585653989</v>
      </c>
    </row>
    <row r="19" spans="1:12" x14ac:dyDescent="0.2">
      <c r="A19" s="18" t="s">
        <v>52</v>
      </c>
      <c r="B19" s="35">
        <v>6</v>
      </c>
      <c r="C19" s="35">
        <v>502</v>
      </c>
      <c r="D19" s="35" t="s">
        <v>74</v>
      </c>
      <c r="E19" s="30">
        <v>132.77000000000001</v>
      </c>
      <c r="F19" s="31">
        <v>8.2500000000000004E-2</v>
      </c>
      <c r="G19" s="29">
        <f t="shared" si="0"/>
        <v>0.28244664150671445</v>
      </c>
    </row>
    <row r="20" spans="1:12" x14ac:dyDescent="0.2">
      <c r="A20" s="18" t="s">
        <v>52</v>
      </c>
      <c r="B20" s="35">
        <v>13</v>
      </c>
      <c r="C20" s="35">
        <v>202</v>
      </c>
      <c r="D20" s="35" t="s">
        <v>72</v>
      </c>
      <c r="E20" s="30">
        <v>141.69999999999999</v>
      </c>
      <c r="F20" s="31">
        <v>0.22900000000000001</v>
      </c>
      <c r="G20" s="29">
        <f t="shared" si="0"/>
        <v>1.5713648249694885</v>
      </c>
    </row>
    <row r="21" spans="1:12" x14ac:dyDescent="0.2">
      <c r="A21" s="18" t="s">
        <v>52</v>
      </c>
      <c r="B21" s="35">
        <v>14</v>
      </c>
      <c r="C21" s="35">
        <v>202</v>
      </c>
      <c r="D21" s="35" t="s">
        <v>73</v>
      </c>
      <c r="E21" s="30">
        <v>123.78</v>
      </c>
      <c r="F21" s="31">
        <v>0.19750000000000001</v>
      </c>
      <c r="G21" s="29">
        <f t="shared" si="0"/>
        <v>1.4802181372108412</v>
      </c>
    </row>
    <row r="22" spans="1:12" x14ac:dyDescent="0.2">
      <c r="A22" s="18" t="s">
        <v>52</v>
      </c>
      <c r="B22" s="35">
        <v>17</v>
      </c>
      <c r="C22" s="35">
        <v>102</v>
      </c>
      <c r="D22" s="35" t="s">
        <v>75</v>
      </c>
      <c r="E22" s="30">
        <v>131.65</v>
      </c>
      <c r="F22" s="31">
        <v>0.251</v>
      </c>
      <c r="G22" s="29">
        <f t="shared" si="0"/>
        <v>1.904654389189677</v>
      </c>
    </row>
    <row r="23" spans="1:12" x14ac:dyDescent="0.2">
      <c r="A23" s="18" t="s">
        <v>52</v>
      </c>
      <c r="B23" s="35">
        <v>18</v>
      </c>
      <c r="C23" s="35">
        <v>102</v>
      </c>
      <c r="D23" s="35" t="s">
        <v>64</v>
      </c>
      <c r="E23" s="30">
        <v>142.88999999999999</v>
      </c>
      <c r="F23" s="31">
        <v>0.28699999999999998</v>
      </c>
      <c r="G23" s="29">
        <f t="shared" si="0"/>
        <v>2.0711585545954816</v>
      </c>
    </row>
    <row r="24" spans="1:12" x14ac:dyDescent="0.2">
      <c r="A24" s="18"/>
      <c r="B24" s="18"/>
      <c r="C24" s="18"/>
      <c r="D24" s="18"/>
      <c r="E24" s="36"/>
      <c r="F24" s="28"/>
      <c r="G24" s="37"/>
    </row>
    <row r="25" spans="1:12" x14ac:dyDescent="0.2">
      <c r="A25" s="18" t="s">
        <v>53</v>
      </c>
      <c r="B25" s="35">
        <v>3</v>
      </c>
      <c r="C25" s="35">
        <v>2750</v>
      </c>
      <c r="D25" s="35" t="s">
        <v>82</v>
      </c>
      <c r="E25" s="35">
        <v>130.94999999999999</v>
      </c>
      <c r="F25" s="31">
        <v>0.23449999999999999</v>
      </c>
      <c r="G25" s="29">
        <f t="shared" ref="G25:G34" si="1">(((((F25-$F$6)*$F$3*$F$4*5598)/($F$5-$F$6))-1000*0.0017)/(E25-2))</f>
        <v>1.7555204337013459</v>
      </c>
      <c r="K25" s="21"/>
      <c r="L25" s="21"/>
    </row>
    <row r="26" spans="1:12" x14ac:dyDescent="0.2">
      <c r="A26" s="18" t="s">
        <v>53</v>
      </c>
      <c r="B26" s="35">
        <v>4</v>
      </c>
      <c r="C26" s="35">
        <v>2750</v>
      </c>
      <c r="D26" s="35" t="s">
        <v>84</v>
      </c>
      <c r="E26" s="35">
        <v>141.72999999999999</v>
      </c>
      <c r="F26" s="31">
        <v>0.252</v>
      </c>
      <c r="G26" s="29">
        <f t="shared" si="1"/>
        <v>1.7761736888011033</v>
      </c>
      <c r="K26" s="21"/>
      <c r="L26" s="21"/>
    </row>
    <row r="27" spans="1:12" x14ac:dyDescent="0.2">
      <c r="A27" s="18" t="s">
        <v>53</v>
      </c>
      <c r="B27" s="35">
        <v>5</v>
      </c>
      <c r="C27" s="35">
        <v>2500</v>
      </c>
      <c r="D27" s="35" t="s">
        <v>85</v>
      </c>
      <c r="E27" s="35">
        <v>139.02000000000001</v>
      </c>
      <c r="F27" s="31">
        <v>0.24149999999999999</v>
      </c>
      <c r="G27" s="29">
        <f t="shared" si="1"/>
        <v>1.7157970790391504</v>
      </c>
      <c r="K27" s="20"/>
      <c r="L27" s="20"/>
    </row>
    <row r="28" spans="1:12" x14ac:dyDescent="0.2">
      <c r="A28" s="18" t="s">
        <v>53</v>
      </c>
      <c r="B28" s="35">
        <v>6</v>
      </c>
      <c r="C28" s="35">
        <v>2500</v>
      </c>
      <c r="D28" s="35" t="s">
        <v>79</v>
      </c>
      <c r="E28" s="35">
        <v>126.22</v>
      </c>
      <c r="F28" s="31">
        <v>0.218</v>
      </c>
      <c r="G28" s="29">
        <f t="shared" si="1"/>
        <v>1.6568207880625945</v>
      </c>
      <c r="K28" s="19"/>
      <c r="L28" s="20"/>
    </row>
    <row r="29" spans="1:12" x14ac:dyDescent="0.2">
      <c r="A29" s="18" t="s">
        <v>53</v>
      </c>
      <c r="B29" s="35">
        <v>6</v>
      </c>
      <c r="C29" s="35">
        <v>2500</v>
      </c>
      <c r="D29" s="35" t="s">
        <v>86</v>
      </c>
      <c r="E29" s="35">
        <v>142.66999999999999</v>
      </c>
      <c r="F29" s="31">
        <v>0.2455</v>
      </c>
      <c r="G29" s="29">
        <f t="shared" si="1"/>
        <v>1.7067160565926682</v>
      </c>
      <c r="K29" s="26"/>
      <c r="L29" s="20"/>
    </row>
    <row r="30" spans="1:12" x14ac:dyDescent="0.2">
      <c r="A30" s="18" t="s">
        <v>53</v>
      </c>
      <c r="B30" s="35">
        <v>11</v>
      </c>
      <c r="C30" s="35">
        <v>1002</v>
      </c>
      <c r="D30" s="35" t="s">
        <v>81</v>
      </c>
      <c r="E30" s="35">
        <v>143.88</v>
      </c>
      <c r="F30" s="31">
        <v>2.8500000000000001E-2</v>
      </c>
      <c r="G30" s="29">
        <f t="shared" si="1"/>
        <v>-0.21401947764266016</v>
      </c>
      <c r="I30" s="17"/>
      <c r="K30" s="27"/>
      <c r="L30" s="20"/>
    </row>
    <row r="31" spans="1:12" x14ac:dyDescent="0.2">
      <c r="A31" s="18" t="s">
        <v>53</v>
      </c>
      <c r="B31" s="35">
        <v>12</v>
      </c>
      <c r="C31" s="35">
        <v>1002</v>
      </c>
      <c r="D31" s="35" t="s">
        <v>87</v>
      </c>
      <c r="E31" s="35">
        <v>145.04</v>
      </c>
      <c r="F31" s="31">
        <v>3.15E-2</v>
      </c>
      <c r="G31" s="29">
        <f t="shared" si="1"/>
        <v>-0.18614485147323112</v>
      </c>
      <c r="K31" s="21"/>
      <c r="L31" s="21"/>
    </row>
    <row r="32" spans="1:12" x14ac:dyDescent="0.2">
      <c r="A32" s="18" t="s">
        <v>53</v>
      </c>
      <c r="B32" s="35">
        <v>12</v>
      </c>
      <c r="C32" s="35">
        <v>1002</v>
      </c>
      <c r="D32" s="35" t="s">
        <v>88</v>
      </c>
      <c r="E32" s="35">
        <v>134.49</v>
      </c>
      <c r="F32" s="31">
        <v>2.9499999999999998E-2</v>
      </c>
      <c r="G32" s="29">
        <f t="shared" si="1"/>
        <v>-0.21978093071329213</v>
      </c>
      <c r="K32" s="21"/>
      <c r="L32" s="21"/>
    </row>
    <row r="33" spans="1:7" x14ac:dyDescent="0.2">
      <c r="A33" s="18" t="s">
        <v>53</v>
      </c>
      <c r="B33" s="35">
        <v>13</v>
      </c>
      <c r="C33" s="35">
        <v>503</v>
      </c>
      <c r="D33" s="35" t="s">
        <v>89</v>
      </c>
      <c r="E33" s="35">
        <v>130.34</v>
      </c>
      <c r="F33" s="31">
        <v>7.3999999999999996E-2</v>
      </c>
      <c r="G33" s="29">
        <f t="shared" si="1"/>
        <v>0.20525112590830893</v>
      </c>
    </row>
    <row r="34" spans="1:7" x14ac:dyDescent="0.2">
      <c r="A34" s="18" t="s">
        <v>53</v>
      </c>
      <c r="B34" s="35">
        <v>14</v>
      </c>
      <c r="C34" s="35">
        <v>503</v>
      </c>
      <c r="D34" s="35" t="s">
        <v>83</v>
      </c>
      <c r="E34" s="35">
        <v>130.77000000000001</v>
      </c>
      <c r="F34" s="31">
        <v>7.4499999999999997E-2</v>
      </c>
      <c r="G34" s="29">
        <f t="shared" si="1"/>
        <v>0.20940501271989317</v>
      </c>
    </row>
    <row r="35" spans="1:7" x14ac:dyDescent="0.2">
      <c r="A35" s="35"/>
      <c r="B35" s="35"/>
      <c r="C35" s="35"/>
      <c r="D35" s="35"/>
      <c r="E35" s="35"/>
      <c r="F35" s="35"/>
      <c r="G35" s="35"/>
    </row>
    <row r="36" spans="1:7" x14ac:dyDescent="0.2">
      <c r="A36" s="18" t="s">
        <v>55</v>
      </c>
      <c r="B36" s="35" t="s">
        <v>63</v>
      </c>
      <c r="C36" s="35">
        <v>1003</v>
      </c>
      <c r="D36" s="35" t="s">
        <v>76</v>
      </c>
      <c r="E36" s="30">
        <v>139.58000000000001</v>
      </c>
      <c r="F36" s="31">
        <v>5.8000000000000003E-2</v>
      </c>
      <c r="G36" s="29">
        <f t="shared" ref="G36:G39" si="2">(((((F36-$F$6)*$F$3*$F$4*5598)/($F$5-$F$6))-1000*0.0017)/(E36-2))</f>
        <v>4.6525671284253424E-2</v>
      </c>
    </row>
    <row r="37" spans="1:7" x14ac:dyDescent="0.2">
      <c r="A37" s="18" t="s">
        <v>55</v>
      </c>
      <c r="B37" s="35" t="s">
        <v>63</v>
      </c>
      <c r="C37" s="35">
        <v>1003</v>
      </c>
      <c r="D37" s="35" t="s">
        <v>80</v>
      </c>
      <c r="E37" s="30">
        <v>130.71</v>
      </c>
      <c r="F37" s="31">
        <v>0.09</v>
      </c>
      <c r="G37" s="29">
        <f t="shared" si="2"/>
        <v>0.35959021943016978</v>
      </c>
    </row>
    <row r="38" spans="1:7" x14ac:dyDescent="0.2">
      <c r="A38" s="18" t="s">
        <v>55</v>
      </c>
      <c r="B38" s="35" t="s">
        <v>28</v>
      </c>
      <c r="C38" s="35">
        <v>1003</v>
      </c>
      <c r="D38" s="35" t="s">
        <v>77</v>
      </c>
      <c r="E38" s="30">
        <v>126.87</v>
      </c>
      <c r="F38" s="31">
        <v>0.16850000000000001</v>
      </c>
      <c r="G38" s="29">
        <f t="shared" si="2"/>
        <v>1.1541445775220336</v>
      </c>
    </row>
    <row r="39" spans="1:7" x14ac:dyDescent="0.2">
      <c r="A39" s="18" t="s">
        <v>55</v>
      </c>
      <c r="B39" s="35" t="s">
        <v>28</v>
      </c>
      <c r="C39" s="35">
        <v>1003</v>
      </c>
      <c r="D39" s="35" t="s">
        <v>78</v>
      </c>
      <c r="E39" s="30">
        <v>130.01</v>
      </c>
      <c r="F39" s="31">
        <v>0.17499999999999999</v>
      </c>
      <c r="G39" s="29">
        <f t="shared" si="2"/>
        <v>1.1891183130260439</v>
      </c>
    </row>
    <row r="40" spans="1:7" x14ac:dyDescent="0.2">
      <c r="A40" s="35"/>
      <c r="B40" s="35"/>
      <c r="C40" s="35"/>
      <c r="D40" s="35"/>
      <c r="E40" s="35"/>
      <c r="F40" s="35"/>
      <c r="G40" s="35"/>
    </row>
  </sheetData>
  <mergeCells count="5">
    <mergeCell ref="B3:C3"/>
    <mergeCell ref="B4:C4"/>
    <mergeCell ref="B5:C5"/>
    <mergeCell ref="B6:C6"/>
    <mergeCell ref="G9:H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BB649-82A3-704C-A8CE-05496A31E9B7}">
  <dimension ref="A3:N40"/>
  <sheetViews>
    <sheetView tabSelected="1" workbookViewId="0"/>
  </sheetViews>
  <sheetFormatPr baseColWidth="10" defaultColWidth="8.83203125" defaultRowHeight="15" x14ac:dyDescent="0.2"/>
  <cols>
    <col min="1" max="2" width="11.5" customWidth="1"/>
    <col min="3" max="3" width="12.5" customWidth="1"/>
    <col min="4" max="4" width="14" customWidth="1"/>
    <col min="5" max="6" width="16.6640625" bestFit="1" customWidth="1"/>
    <col min="7" max="7" width="15" customWidth="1"/>
    <col min="8" max="8" width="11.33203125" customWidth="1"/>
    <col min="9" max="9" width="13.5" customWidth="1"/>
    <col min="10" max="10" width="10.6640625" customWidth="1"/>
    <col min="11" max="11" width="16" bestFit="1" customWidth="1"/>
    <col min="12" max="12" width="14.33203125" customWidth="1"/>
    <col min="13" max="13" width="10.1640625" bestFit="1" customWidth="1"/>
    <col min="15" max="15" width="12" bestFit="1" customWidth="1"/>
  </cols>
  <sheetData>
    <row r="3" spans="1:14" x14ac:dyDescent="0.2">
      <c r="A3" s="12" t="s">
        <v>18</v>
      </c>
      <c r="B3" s="42" t="s">
        <v>93</v>
      </c>
      <c r="C3" s="42"/>
      <c r="E3" s="13" t="s">
        <v>26</v>
      </c>
      <c r="F3" s="32">
        <v>10</v>
      </c>
      <c r="H3" t="s">
        <v>20</v>
      </c>
      <c r="I3" s="34">
        <v>0.48799999999999999</v>
      </c>
      <c r="J3" t="s">
        <v>8</v>
      </c>
      <c r="K3" s="34">
        <v>5.0999999999999997E-2</v>
      </c>
    </row>
    <row r="4" spans="1:14" x14ac:dyDescent="0.2">
      <c r="A4" s="15" t="s">
        <v>19</v>
      </c>
      <c r="B4" s="42"/>
      <c r="C4" s="42"/>
      <c r="E4" s="7" t="s">
        <v>10</v>
      </c>
      <c r="F4" s="32">
        <v>0.01</v>
      </c>
      <c r="G4" s="8"/>
      <c r="H4" t="s">
        <v>21</v>
      </c>
      <c r="I4" s="34">
        <v>0.495</v>
      </c>
      <c r="J4" t="s">
        <v>9</v>
      </c>
      <c r="K4" s="34">
        <v>0.104</v>
      </c>
    </row>
    <row r="5" spans="1:14" x14ac:dyDescent="0.2">
      <c r="A5" s="15" t="s">
        <v>7</v>
      </c>
      <c r="B5" s="43">
        <v>43308</v>
      </c>
      <c r="C5" s="42"/>
      <c r="E5" s="7" t="s">
        <v>25</v>
      </c>
      <c r="F5" s="33">
        <f>AVERAGE(I3:I7)</f>
        <v>0.49539999999999995</v>
      </c>
      <c r="G5" s="8"/>
      <c r="H5" t="s">
        <v>22</v>
      </c>
      <c r="I5" s="34">
        <v>0.4995</v>
      </c>
      <c r="K5" s="17"/>
    </row>
    <row r="6" spans="1:14" x14ac:dyDescent="0.2">
      <c r="A6" s="14" t="s">
        <v>0</v>
      </c>
      <c r="B6" s="42"/>
      <c r="C6" s="42"/>
      <c r="E6" s="24" t="s">
        <v>24</v>
      </c>
      <c r="F6" s="33">
        <f>K4-K3</f>
        <v>5.2999999999999999E-2</v>
      </c>
      <c r="G6" s="25"/>
      <c r="H6" t="s">
        <v>23</v>
      </c>
      <c r="I6" s="34">
        <v>0.498</v>
      </c>
    </row>
    <row r="7" spans="1:14" x14ac:dyDescent="0.2">
      <c r="A7" s="12"/>
      <c r="B7" s="12"/>
      <c r="C7" s="12"/>
      <c r="D7" s="12"/>
      <c r="E7" s="12"/>
      <c r="F7" s="14"/>
      <c r="G7" s="14"/>
      <c r="H7" t="s">
        <v>48</v>
      </c>
      <c r="I7" s="34">
        <v>0.4965</v>
      </c>
    </row>
    <row r="8" spans="1:14" x14ac:dyDescent="0.2">
      <c r="G8" s="1"/>
      <c r="H8" s="17"/>
      <c r="I8" s="28"/>
    </row>
    <row r="9" spans="1:14" x14ac:dyDescent="0.2">
      <c r="A9" s="3" t="s">
        <v>17</v>
      </c>
      <c r="B9" s="3" t="s">
        <v>15</v>
      </c>
      <c r="C9" s="3" t="s">
        <v>12</v>
      </c>
      <c r="D9" s="3" t="s">
        <v>1</v>
      </c>
      <c r="E9" s="3" t="s">
        <v>2</v>
      </c>
      <c r="F9" s="4" t="s">
        <v>3</v>
      </c>
      <c r="G9" s="44" t="s">
        <v>13</v>
      </c>
      <c r="H9" s="45"/>
      <c r="I9" s="5" t="s">
        <v>4</v>
      </c>
      <c r="J9" s="5"/>
    </row>
    <row r="10" spans="1:14" ht="16" thickBot="1" x14ac:dyDescent="0.25">
      <c r="A10" s="10" t="s">
        <v>16</v>
      </c>
      <c r="B10" s="10" t="s">
        <v>14</v>
      </c>
      <c r="C10" s="10" t="s">
        <v>11</v>
      </c>
      <c r="D10" s="10"/>
      <c r="E10" s="10" t="s">
        <v>5</v>
      </c>
      <c r="F10" s="11" t="s">
        <v>5</v>
      </c>
      <c r="G10" s="9" t="s">
        <v>6</v>
      </c>
      <c r="H10" s="6"/>
    </row>
    <row r="11" spans="1:14" ht="16" thickTop="1" x14ac:dyDescent="0.2">
      <c r="A11" s="35" t="s">
        <v>56</v>
      </c>
      <c r="B11" s="35">
        <v>1</v>
      </c>
      <c r="C11" s="35">
        <v>2600</v>
      </c>
      <c r="D11" s="35" t="s">
        <v>54</v>
      </c>
      <c r="E11" s="30">
        <v>139.02000000000001</v>
      </c>
      <c r="F11" s="31">
        <v>0.22500000000000001</v>
      </c>
      <c r="G11" s="29">
        <f>(((((F11-$F$6)*$F$3*$F$4*5598)/($F$5-$F$6))-1000*0.0017)/(E11-2))</f>
        <v>1.5760017610712975</v>
      </c>
      <c r="N11" s="16"/>
    </row>
    <row r="12" spans="1:14" x14ac:dyDescent="0.2">
      <c r="A12" s="35" t="s">
        <v>56</v>
      </c>
      <c r="B12" s="35">
        <v>2</v>
      </c>
      <c r="C12" s="35">
        <v>2600</v>
      </c>
      <c r="D12" s="35">
        <v>315</v>
      </c>
      <c r="E12" s="30">
        <v>132.80000000000001</v>
      </c>
      <c r="F12" s="31">
        <v>0.21299999999999999</v>
      </c>
      <c r="G12" s="29">
        <f t="shared" ref="G12:G16" si="0">(((((F12-$F$6)*$F$3*$F$4*5598)/($F$5-$F$6))-1000*0.0017)/(E12-2))</f>
        <v>1.5348571317970925</v>
      </c>
      <c r="H12" s="17"/>
    </row>
    <row r="13" spans="1:14" x14ac:dyDescent="0.2">
      <c r="A13" s="35" t="s">
        <v>56</v>
      </c>
      <c r="B13" s="35">
        <v>4</v>
      </c>
      <c r="C13" s="35">
        <v>2500</v>
      </c>
      <c r="D13" s="35">
        <v>314</v>
      </c>
      <c r="E13" s="30">
        <v>134.49</v>
      </c>
      <c r="F13" s="31">
        <v>0.20649999999999999</v>
      </c>
      <c r="G13" s="29">
        <f t="shared" si="0"/>
        <v>1.4531995113214045</v>
      </c>
      <c r="H13" s="17"/>
    </row>
    <row r="14" spans="1:14" x14ac:dyDescent="0.2">
      <c r="A14" s="35" t="s">
        <v>56</v>
      </c>
      <c r="B14" s="35">
        <v>4</v>
      </c>
      <c r="C14" s="35">
        <v>2500</v>
      </c>
      <c r="D14" s="35" t="s">
        <v>57</v>
      </c>
      <c r="E14" s="30">
        <v>137.04</v>
      </c>
      <c r="F14" s="31">
        <v>0.21099999999999999</v>
      </c>
      <c r="G14" s="29">
        <f t="shared" si="0"/>
        <v>1.4679248476641846</v>
      </c>
      <c r="H14" s="17"/>
    </row>
    <row r="15" spans="1:14" x14ac:dyDescent="0.2">
      <c r="A15" s="35" t="s">
        <v>56</v>
      </c>
      <c r="B15" s="35">
        <v>17</v>
      </c>
      <c r="C15" s="35">
        <v>60</v>
      </c>
      <c r="D15" s="35">
        <v>316</v>
      </c>
      <c r="E15" s="30">
        <v>137.71</v>
      </c>
      <c r="F15" s="31">
        <v>0.874</v>
      </c>
      <c r="G15" s="29">
        <f t="shared" si="0"/>
        <v>7.642541809781334</v>
      </c>
      <c r="H15" s="17"/>
      <c r="N15" s="16"/>
    </row>
    <row r="16" spans="1:14" x14ac:dyDescent="0.2">
      <c r="A16" s="35" t="s">
        <v>56</v>
      </c>
      <c r="B16" s="35">
        <v>18</v>
      </c>
      <c r="C16" s="35">
        <v>60</v>
      </c>
      <c r="D16" s="35">
        <v>318</v>
      </c>
      <c r="E16" s="30">
        <v>122.45</v>
      </c>
      <c r="F16" s="31">
        <v>0.76649999999999996</v>
      </c>
      <c r="G16" s="29">
        <f t="shared" si="0"/>
        <v>7.4814611722015911</v>
      </c>
      <c r="H16" s="17"/>
    </row>
    <row r="17" spans="1:12" x14ac:dyDescent="0.2">
      <c r="A17" s="18"/>
      <c r="B17" s="18"/>
      <c r="C17" s="18"/>
      <c r="D17" s="18"/>
      <c r="E17" s="36"/>
      <c r="F17" s="28"/>
      <c r="G17" s="37"/>
      <c r="H17" s="17"/>
    </row>
    <row r="18" spans="1:12" x14ac:dyDescent="0.2">
      <c r="A18" s="18"/>
      <c r="B18" s="18"/>
      <c r="C18" s="18"/>
      <c r="D18" s="18"/>
      <c r="E18" s="36"/>
      <c r="F18" s="28"/>
      <c r="G18" s="37"/>
    </row>
    <row r="19" spans="1:12" x14ac:dyDescent="0.2">
      <c r="A19" s="18"/>
      <c r="B19" s="18"/>
      <c r="C19" s="18"/>
      <c r="D19" s="18"/>
      <c r="E19" s="36"/>
      <c r="F19" s="28"/>
      <c r="G19" s="37"/>
    </row>
    <row r="20" spans="1:12" x14ac:dyDescent="0.2">
      <c r="A20" s="18"/>
      <c r="B20" s="18"/>
      <c r="C20" s="18"/>
      <c r="D20" s="18"/>
      <c r="E20" s="36"/>
      <c r="F20" s="28"/>
      <c r="G20" s="37"/>
    </row>
    <row r="21" spans="1:12" x14ac:dyDescent="0.2">
      <c r="A21" s="18"/>
      <c r="B21" s="18"/>
      <c r="C21" s="18"/>
      <c r="D21" s="18"/>
      <c r="E21" s="36"/>
      <c r="F21" s="28"/>
      <c r="G21" s="37"/>
    </row>
    <row r="22" spans="1:12" x14ac:dyDescent="0.2">
      <c r="A22" s="18"/>
      <c r="B22" s="18"/>
      <c r="C22" s="18"/>
      <c r="D22" s="18"/>
      <c r="E22" s="36"/>
      <c r="F22" s="28"/>
      <c r="G22" s="37"/>
    </row>
    <row r="23" spans="1:12" x14ac:dyDescent="0.2">
      <c r="A23" s="18"/>
      <c r="B23" s="18"/>
      <c r="C23" s="18"/>
      <c r="D23" s="18"/>
      <c r="E23" s="36"/>
      <c r="F23" s="28"/>
      <c r="G23" s="37"/>
    </row>
    <row r="24" spans="1:12" x14ac:dyDescent="0.2">
      <c r="A24" s="18"/>
      <c r="B24" s="18"/>
      <c r="C24" s="18"/>
      <c r="D24" s="18"/>
      <c r="E24" s="36"/>
      <c r="F24" s="28"/>
      <c r="G24" s="37"/>
    </row>
    <row r="25" spans="1:12" x14ac:dyDescent="0.2">
      <c r="A25" s="18"/>
      <c r="B25" s="18"/>
      <c r="C25" s="18"/>
      <c r="D25" s="18"/>
      <c r="E25" s="18"/>
      <c r="F25" s="28"/>
      <c r="G25" s="37"/>
      <c r="K25" s="21"/>
      <c r="L25" s="21"/>
    </row>
    <row r="26" spans="1:12" x14ac:dyDescent="0.2">
      <c r="A26" s="18"/>
      <c r="B26" s="18"/>
      <c r="C26" s="18"/>
      <c r="D26" s="18"/>
      <c r="E26" s="18"/>
      <c r="F26" s="28"/>
      <c r="G26" s="37"/>
      <c r="K26" s="21"/>
      <c r="L26" s="21"/>
    </row>
    <row r="27" spans="1:12" x14ac:dyDescent="0.2">
      <c r="A27" s="18"/>
      <c r="B27" s="18"/>
      <c r="C27" s="18"/>
      <c r="D27" s="18"/>
      <c r="E27" s="18"/>
      <c r="F27" s="28"/>
      <c r="G27" s="37"/>
      <c r="K27" s="20"/>
      <c r="L27" s="20"/>
    </row>
    <row r="28" spans="1:12" x14ac:dyDescent="0.2">
      <c r="A28" s="18"/>
      <c r="B28" s="18"/>
      <c r="C28" s="18"/>
      <c r="D28" s="18"/>
      <c r="E28" s="18"/>
      <c r="F28" s="28"/>
      <c r="G28" s="37"/>
      <c r="K28" s="19"/>
      <c r="L28" s="20"/>
    </row>
    <row r="29" spans="1:12" x14ac:dyDescent="0.2">
      <c r="A29" s="18"/>
      <c r="B29" s="18"/>
      <c r="C29" s="18"/>
      <c r="D29" s="18"/>
      <c r="E29" s="18"/>
      <c r="F29" s="28"/>
      <c r="G29" s="37"/>
      <c r="K29" s="26"/>
      <c r="L29" s="20"/>
    </row>
    <row r="30" spans="1:12" x14ac:dyDescent="0.2">
      <c r="A30" s="18"/>
      <c r="B30" s="18"/>
      <c r="C30" s="18"/>
      <c r="D30" s="18"/>
      <c r="E30" s="18"/>
      <c r="F30" s="28"/>
      <c r="G30" s="37"/>
      <c r="K30" s="27"/>
      <c r="L30" s="20"/>
    </row>
    <row r="31" spans="1:12" x14ac:dyDescent="0.2">
      <c r="A31" s="18"/>
      <c r="B31" s="18"/>
      <c r="C31" s="18"/>
      <c r="D31" s="18"/>
      <c r="E31" s="18"/>
      <c r="F31" s="28"/>
      <c r="G31" s="37"/>
      <c r="K31" s="21"/>
      <c r="L31" s="21"/>
    </row>
    <row r="32" spans="1:12" x14ac:dyDescent="0.2">
      <c r="A32" s="18"/>
      <c r="B32" s="18"/>
      <c r="C32" s="18"/>
      <c r="D32" s="18"/>
      <c r="E32" s="18"/>
      <c r="F32" s="28"/>
      <c r="G32" s="37"/>
      <c r="K32" s="21"/>
      <c r="L32" s="21"/>
    </row>
    <row r="33" spans="1:7" x14ac:dyDescent="0.2">
      <c r="A33" s="18"/>
      <c r="B33" s="18"/>
      <c r="C33" s="18"/>
      <c r="D33" s="18"/>
      <c r="E33" s="18"/>
      <c r="F33" s="28"/>
      <c r="G33" s="37"/>
    </row>
    <row r="34" spans="1:7" x14ac:dyDescent="0.2">
      <c r="A34" s="18"/>
      <c r="B34" s="18"/>
      <c r="C34" s="18"/>
      <c r="D34" s="18"/>
      <c r="E34" s="18"/>
      <c r="F34" s="28"/>
      <c r="G34" s="37"/>
    </row>
    <row r="35" spans="1:7" x14ac:dyDescent="0.2">
      <c r="A35" s="18"/>
      <c r="B35" s="18"/>
      <c r="C35" s="18"/>
      <c r="D35" s="18"/>
      <c r="E35" s="18"/>
      <c r="F35" s="18"/>
      <c r="G35" s="18"/>
    </row>
    <row r="36" spans="1:7" x14ac:dyDescent="0.2">
      <c r="A36" s="18"/>
      <c r="B36" s="18"/>
      <c r="C36" s="18"/>
      <c r="D36" s="18"/>
      <c r="E36" s="36"/>
      <c r="F36" s="28"/>
      <c r="G36" s="37"/>
    </row>
    <row r="37" spans="1:7" x14ac:dyDescent="0.2">
      <c r="A37" s="18"/>
      <c r="B37" s="18"/>
      <c r="C37" s="18"/>
      <c r="D37" s="18"/>
      <c r="E37" s="36"/>
      <c r="F37" s="28"/>
      <c r="G37" s="37"/>
    </row>
    <row r="38" spans="1:7" x14ac:dyDescent="0.2">
      <c r="A38" s="18"/>
      <c r="B38" s="18"/>
      <c r="C38" s="18"/>
      <c r="D38" s="18"/>
      <c r="E38" s="36"/>
      <c r="F38" s="28"/>
      <c r="G38" s="37"/>
    </row>
    <row r="39" spans="1:7" x14ac:dyDescent="0.2">
      <c r="A39" s="18"/>
      <c r="B39" s="18"/>
      <c r="C39" s="18"/>
      <c r="D39" s="18"/>
      <c r="E39" s="36"/>
      <c r="F39" s="28"/>
      <c r="G39" s="37"/>
    </row>
    <row r="40" spans="1:7" x14ac:dyDescent="0.2">
      <c r="A40" s="35"/>
      <c r="B40" s="35"/>
      <c r="C40" s="35"/>
      <c r="D40" s="35"/>
      <c r="E40" s="35"/>
      <c r="F40" s="35"/>
      <c r="G40" s="35"/>
    </row>
  </sheetData>
  <mergeCells count="5">
    <mergeCell ref="B3:C3"/>
    <mergeCell ref="B4:C4"/>
    <mergeCell ref="B5:C5"/>
    <mergeCell ref="B6:C6"/>
    <mergeCell ref="G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Wendi Ruef</dc:creator>
  <cp:lastModifiedBy>Wendi Ruef</cp:lastModifiedBy>
  <cp:lastPrinted>2016-12-21T17:35:33Z</cp:lastPrinted>
  <dcterms:created xsi:type="dcterms:W3CDTF">2016-12-15T23:58:46Z</dcterms:created>
  <dcterms:modified xsi:type="dcterms:W3CDTF">2019-08-15T19:23:32Z</dcterms:modified>
</cp:coreProperties>
</file>