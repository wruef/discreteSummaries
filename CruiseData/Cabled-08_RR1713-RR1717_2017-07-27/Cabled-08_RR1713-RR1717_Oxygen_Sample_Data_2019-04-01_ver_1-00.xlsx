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4"/>
  <workbookPr/>
  <mc:AlternateContent xmlns:mc="http://schemas.openxmlformats.org/markup-compatibility/2006">
    <mc:Choice Requires="x15">
      <x15ac:absPath xmlns:x15ac="http://schemas.microsoft.com/office/spreadsheetml/2010/11/ac" url="/Users/rsn/Desktop/"/>
    </mc:Choice>
  </mc:AlternateContent>
  <xr:revisionPtr revIDLastSave="0" documentId="13_ncr:1_{41BFF2E0-5490-544D-8220-EE72B015E5DF}" xr6:coauthVersionLast="36" xr6:coauthVersionMax="36" xr10:uidLastSave="{00000000-0000-0000-0000-000000000000}"/>
  <bookViews>
    <workbookView xWindow="100" yWindow="480" windowWidth="35000" windowHeight="19520" xr2:uid="{00000000-000D-0000-FFFF-FFFF00000000}"/>
  </bookViews>
  <sheets>
    <sheet name="Sheet1" sheetId="3" r:id="rId1"/>
    <sheet name="Sheet2" sheetId="43" r:id="rId2"/>
    <sheet name="Sheet3" sheetId="44" r:id="rId3"/>
    <sheet name="Sheet4" sheetId="4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43" l="1"/>
  <c r="G17" i="43"/>
  <c r="F6" i="45" l="1"/>
  <c r="F5" i="45"/>
  <c r="G20" i="44"/>
  <c r="G19" i="44"/>
  <c r="G18" i="44"/>
  <c r="G17" i="44"/>
  <c r="G16" i="44"/>
  <c r="G15" i="44"/>
  <c r="G14" i="44"/>
  <c r="G13" i="44"/>
  <c r="G12" i="44"/>
  <c r="F6" i="44"/>
  <c r="F5" i="44"/>
  <c r="F6" i="43"/>
  <c r="G21" i="43" s="1"/>
  <c r="F5" i="43"/>
  <c r="G11" i="3"/>
  <c r="F5" i="3"/>
  <c r="G30" i="3"/>
  <c r="G29" i="3"/>
  <c r="G28" i="3"/>
  <c r="G27" i="3"/>
  <c r="G26" i="3"/>
  <c r="G25" i="3"/>
  <c r="G23" i="3"/>
  <c r="G22" i="3"/>
  <c r="G21" i="3"/>
  <c r="G20" i="3"/>
  <c r="G19" i="3"/>
  <c r="G18" i="3"/>
  <c r="G16" i="3"/>
  <c r="F6" i="3"/>
  <c r="G24" i="43" l="1"/>
  <c r="G16" i="43"/>
  <c r="G22" i="43"/>
  <c r="G12" i="43"/>
  <c r="G23" i="43"/>
  <c r="G13" i="43"/>
  <c r="G14" i="43"/>
  <c r="G15" i="43"/>
  <c r="G20" i="43"/>
  <c r="G26" i="45"/>
  <c r="G11" i="45"/>
  <c r="G12" i="45"/>
  <c r="G21" i="45"/>
  <c r="G13" i="45"/>
  <c r="G23" i="45"/>
  <c r="G19" i="45"/>
  <c r="G24" i="45"/>
  <c r="G18" i="45"/>
  <c r="G20" i="45"/>
  <c r="G14" i="45"/>
  <c r="G15" i="45"/>
  <c r="G25" i="45"/>
  <c r="G16" i="45"/>
  <c r="G11" i="44"/>
  <c r="G11" i="43"/>
  <c r="G32" i="3"/>
  <c r="G12" i="3"/>
  <c r="G13" i="3"/>
  <c r="G14" i="3"/>
  <c r="G15" i="3"/>
</calcChain>
</file>

<file path=xl/sharedStrings.xml><?xml version="1.0" encoding="utf-8"?>
<sst xmlns="http://schemas.openxmlformats.org/spreadsheetml/2006/main" count="238" uniqueCount="89">
  <si>
    <t>Analyst:</t>
  </si>
  <si>
    <t>Bottle #</t>
  </si>
  <si>
    <t>Bottle Volume</t>
  </si>
  <si>
    <t>Buret Titer</t>
  </si>
  <si>
    <t>Comments</t>
  </si>
  <si>
    <t>ml</t>
  </si>
  <si>
    <t>ml/liter</t>
  </si>
  <si>
    <t>Date/Time:</t>
  </si>
  <si>
    <t>Blank #1</t>
  </si>
  <si>
    <t>Blank #2</t>
  </si>
  <si>
    <t>Standard Normality:</t>
  </si>
  <si>
    <t>(meters)</t>
  </si>
  <si>
    <t>Depth</t>
  </si>
  <si>
    <t>Oxygen Concentration</t>
  </si>
  <si>
    <t>Bottle</t>
  </si>
  <si>
    <t>Niskin</t>
  </si>
  <si>
    <t>Cast</t>
  </si>
  <si>
    <t>CTD</t>
  </si>
  <si>
    <t>Cruise #:</t>
  </si>
  <si>
    <t>Event #s:</t>
  </si>
  <si>
    <t>OX 220</t>
  </si>
  <si>
    <t>Standard #1</t>
  </si>
  <si>
    <t>Standard #2</t>
  </si>
  <si>
    <t>Standard #3</t>
  </si>
  <si>
    <t>Standard #4</t>
  </si>
  <si>
    <t>Correction Factor:</t>
  </si>
  <si>
    <t>Standard (avg):</t>
  </si>
  <si>
    <t>Pipette Volume:</t>
  </si>
  <si>
    <t>CTD-1</t>
  </si>
  <si>
    <t>OX 221</t>
  </si>
  <si>
    <t>OX 222</t>
  </si>
  <si>
    <t>OX217A</t>
  </si>
  <si>
    <t>OX220</t>
  </si>
  <si>
    <t>OX221</t>
  </si>
  <si>
    <t>OX222</t>
  </si>
  <si>
    <t>OX228</t>
  </si>
  <si>
    <t>OX227B</t>
  </si>
  <si>
    <t>CTD-2</t>
  </si>
  <si>
    <t>OX 226</t>
  </si>
  <si>
    <t>OX 225A</t>
  </si>
  <si>
    <t>OX 231</t>
  </si>
  <si>
    <t>OX 223</t>
  </si>
  <si>
    <t>OX 224A</t>
  </si>
  <si>
    <t>OX 234A</t>
  </si>
  <si>
    <t>CTD-5</t>
  </si>
  <si>
    <t>OX 233A</t>
  </si>
  <si>
    <t>OX 232A</t>
  </si>
  <si>
    <t>OX 229</t>
  </si>
  <si>
    <t>OX 239</t>
  </si>
  <si>
    <t>OX 230</t>
  </si>
  <si>
    <t>OX240</t>
  </si>
  <si>
    <t>Dive J2-970</t>
  </si>
  <si>
    <t>porch</t>
  </si>
  <si>
    <t>CTD-06</t>
  </si>
  <si>
    <t>OX 217A</t>
  </si>
  <si>
    <t xml:space="preserve">OX 225A </t>
  </si>
  <si>
    <t>OX 235A</t>
  </si>
  <si>
    <t>CTD-10</t>
  </si>
  <si>
    <t>OX 219A</t>
  </si>
  <si>
    <t>CTD-11</t>
  </si>
  <si>
    <t>OX 145</t>
  </si>
  <si>
    <t>OX 147</t>
  </si>
  <si>
    <t>OX 146</t>
  </si>
  <si>
    <t>OX 151</t>
  </si>
  <si>
    <t>OX 148B</t>
  </si>
  <si>
    <t>OX 152A</t>
  </si>
  <si>
    <t>OX 149</t>
  </si>
  <si>
    <t>OX 153</t>
  </si>
  <si>
    <t>OX 150</t>
  </si>
  <si>
    <t>OX 154</t>
  </si>
  <si>
    <t>CTD-13</t>
  </si>
  <si>
    <t>Dive J2-1008</t>
  </si>
  <si>
    <t>P. BASKET</t>
  </si>
  <si>
    <t>OX 156</t>
  </si>
  <si>
    <t>S.BASKET</t>
  </si>
  <si>
    <t>OX 155</t>
  </si>
  <si>
    <t>S.FRWARD</t>
  </si>
  <si>
    <t>P FRWARD</t>
  </si>
  <si>
    <t>OX 162</t>
  </si>
  <si>
    <t>Dive Js-1011</t>
  </si>
  <si>
    <t>OX 157</t>
  </si>
  <si>
    <t>OX-219A</t>
  </si>
  <si>
    <t>some spilled at beginning</t>
  </si>
  <si>
    <t>OX 237A</t>
  </si>
  <si>
    <t>OX231</t>
  </si>
  <si>
    <t>OX224A</t>
  </si>
  <si>
    <t>VISIONS 17 R1715</t>
  </si>
  <si>
    <t>VISIONS 17 R1714</t>
  </si>
  <si>
    <t>VISIONS 17 R1713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</si>
</sst>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0.0000"/>
    <numFmt numFmtId="167" formatCode="0.000000"/>
  </numFmts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lightGray">
        <fgColor indexed="22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gray125">
        <fgColor theme="5" tint="0.39994506668294322"/>
        <bgColor theme="0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0" borderId="0" xfId="0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right"/>
    </xf>
    <xf numFmtId="164" fontId="0" fillId="0" borderId="0" xfId="0" applyNumberFormat="1" applyFill="1" applyBorder="1"/>
    <xf numFmtId="2" fontId="0" fillId="0" borderId="0" xfId="0" applyNumberFormat="1" applyFill="1" applyBorder="1"/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0" xfId="0" applyBorder="1"/>
    <xf numFmtId="165" fontId="0" fillId="0" borderId="0" xfId="0" applyNumberFormat="1" applyBorder="1"/>
    <xf numFmtId="164" fontId="0" fillId="0" borderId="0" xfId="0" applyNumberFormat="1" applyBorder="1"/>
    <xf numFmtId="0" fontId="0" fillId="0" borderId="0" xfId="0" applyFill="1" applyBorder="1"/>
    <xf numFmtId="164" fontId="0" fillId="0" borderId="0" xfId="0" applyNumberFormat="1" applyProtection="1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0" fillId="0" borderId="0" xfId="0" applyAlignment="1">
      <alignment horizontal="center"/>
    </xf>
    <xf numFmtId="2" fontId="0" fillId="0" borderId="0" xfId="0" applyNumberFormat="1" applyBorder="1"/>
    <xf numFmtId="1" fontId="0" fillId="0" borderId="0" xfId="0" applyNumberFormat="1" applyBorder="1"/>
    <xf numFmtId="2" fontId="0" fillId="0" borderId="0" xfId="0" applyNumberFormat="1" applyFill="1" applyBorder="1" applyAlignment="1">
      <alignment horizontal="left"/>
    </xf>
    <xf numFmtId="164" fontId="0" fillId="0" borderId="0" xfId="0" applyNumberFormat="1" applyFill="1" applyBorder="1" applyAlignment="1">
      <alignment horizontal="left"/>
    </xf>
    <xf numFmtId="165" fontId="0" fillId="0" borderId="0" xfId="0" applyNumberFormat="1" applyFill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6" fontId="0" fillId="0" borderId="0" xfId="0" applyNumberFormat="1" applyFill="1"/>
    <xf numFmtId="166" fontId="0" fillId="0" borderId="0" xfId="0" applyNumberFormat="1"/>
    <xf numFmtId="166" fontId="0" fillId="0" borderId="0" xfId="0" applyNumberFormat="1" applyFill="1" applyAlignment="1">
      <alignment horizontal="center"/>
    </xf>
    <xf numFmtId="167" fontId="0" fillId="3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  <xf numFmtId="166" fontId="0" fillId="0" borderId="0" xfId="0" applyNumberFormat="1" applyFill="1" applyAlignment="1" applyProtection="1">
      <alignment horizontal="center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Font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66" fontId="0" fillId="0" borderId="0" xfId="0" applyNumberFormat="1" applyFill="1" applyBorder="1" applyAlignment="1">
      <alignment horizontal="center"/>
    </xf>
    <xf numFmtId="166" fontId="0" fillId="4" borderId="0" xfId="0" applyNumberFormat="1" applyFill="1" applyAlignment="1">
      <alignment horizontal="center"/>
    </xf>
    <xf numFmtId="167" fontId="0" fillId="0" borderId="0" xfId="0" applyNumberFormat="1" applyFill="1" applyAlignment="1">
      <alignment horizontal="center"/>
    </xf>
    <xf numFmtId="2" fontId="0" fillId="0" borderId="0" xfId="0" applyNumberFormat="1" applyFill="1"/>
    <xf numFmtId="0" fontId="0" fillId="0" borderId="0" xfId="0" applyAlignment="1">
      <alignment horizontal="center"/>
    </xf>
    <xf numFmtId="166" fontId="0" fillId="3" borderId="0" xfId="0" applyNumberFormat="1" applyFill="1" applyAlignment="1" applyProtection="1">
      <alignment horizontal="center"/>
    </xf>
    <xf numFmtId="0" fontId="0" fillId="0" borderId="2" xfId="0" applyBorder="1" applyAlignment="1">
      <alignment horizontal="center"/>
    </xf>
    <xf numFmtId="2" fontId="1" fillId="2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N32"/>
  <sheetViews>
    <sheetView tabSelected="1" workbookViewId="0"/>
  </sheetViews>
  <sheetFormatPr baseColWidth="10" defaultColWidth="8.83203125" defaultRowHeight="15" x14ac:dyDescent="0.2"/>
  <cols>
    <col min="1" max="2" width="11.5" customWidth="1"/>
    <col min="3" max="3" width="12.5" customWidth="1"/>
    <col min="4" max="4" width="14" customWidth="1"/>
    <col min="5" max="6" width="16.6640625" bestFit="1" customWidth="1"/>
    <col min="7" max="7" width="15" customWidth="1"/>
    <col min="8" max="8" width="11.33203125" customWidth="1"/>
    <col min="9" max="9" width="13.5" customWidth="1"/>
    <col min="10" max="10" width="10.6640625" customWidth="1"/>
    <col min="11" max="11" width="16" bestFit="1" customWidth="1"/>
    <col min="12" max="12" width="14.33203125" customWidth="1"/>
    <col min="13" max="13" width="10.1640625" bestFit="1" customWidth="1"/>
    <col min="15" max="15" width="12" bestFit="1" customWidth="1"/>
  </cols>
  <sheetData>
    <row r="3" spans="1:14" x14ac:dyDescent="0.2">
      <c r="A3" s="12" t="s">
        <v>18</v>
      </c>
      <c r="B3" s="46" t="s">
        <v>88</v>
      </c>
      <c r="C3" s="46"/>
      <c r="E3" s="13" t="s">
        <v>27</v>
      </c>
      <c r="F3" s="39">
        <v>10</v>
      </c>
      <c r="H3" t="s">
        <v>21</v>
      </c>
      <c r="I3" s="41">
        <v>0.48699999999999999</v>
      </c>
      <c r="J3" t="s">
        <v>8</v>
      </c>
      <c r="K3" s="41">
        <v>5.2499999999999998E-2</v>
      </c>
    </row>
    <row r="4" spans="1:14" x14ac:dyDescent="0.2">
      <c r="A4" s="15" t="s">
        <v>19</v>
      </c>
      <c r="B4" s="46"/>
      <c r="C4" s="46"/>
      <c r="E4" s="7" t="s">
        <v>10</v>
      </c>
      <c r="F4" s="39">
        <v>0.01</v>
      </c>
      <c r="G4" s="8"/>
      <c r="H4" t="s">
        <v>22</v>
      </c>
      <c r="I4" s="41">
        <v>0.48199999999999998</v>
      </c>
      <c r="J4" t="s">
        <v>9</v>
      </c>
      <c r="K4" s="41">
        <v>0.10249999999999999</v>
      </c>
    </row>
    <row r="5" spans="1:14" x14ac:dyDescent="0.2">
      <c r="A5" s="15" t="s">
        <v>7</v>
      </c>
      <c r="B5" s="49">
        <v>42948</v>
      </c>
      <c r="C5" s="46"/>
      <c r="E5" s="7" t="s">
        <v>26</v>
      </c>
      <c r="F5" s="40">
        <f>AVERAGE(I3:I6)</f>
        <v>0.483375</v>
      </c>
      <c r="G5" s="8"/>
      <c r="H5" t="s">
        <v>23</v>
      </c>
      <c r="I5" s="41">
        <v>0.48249999999999998</v>
      </c>
      <c r="K5" s="17"/>
    </row>
    <row r="6" spans="1:14" x14ac:dyDescent="0.2">
      <c r="A6" s="14" t="s">
        <v>0</v>
      </c>
      <c r="B6" s="46"/>
      <c r="C6" s="46"/>
      <c r="E6" s="26" t="s">
        <v>25</v>
      </c>
      <c r="F6" s="40">
        <f>K4-K3</f>
        <v>4.9999999999999996E-2</v>
      </c>
      <c r="G6" s="27"/>
      <c r="H6" t="s">
        <v>24</v>
      </c>
      <c r="I6" s="41">
        <v>0.48199999999999998</v>
      </c>
    </row>
    <row r="7" spans="1:14" x14ac:dyDescent="0.2">
      <c r="A7" s="12"/>
      <c r="B7" s="12"/>
      <c r="C7" s="12"/>
      <c r="D7" s="12"/>
      <c r="E7" s="12"/>
      <c r="F7" s="14"/>
      <c r="G7" s="14"/>
      <c r="H7" s="24"/>
      <c r="I7" s="25"/>
    </row>
    <row r="8" spans="1:14" x14ac:dyDescent="0.2">
      <c r="G8" s="1"/>
      <c r="H8" s="1"/>
      <c r="I8" s="2"/>
    </row>
    <row r="9" spans="1:14" x14ac:dyDescent="0.2">
      <c r="A9" s="3" t="s">
        <v>17</v>
      </c>
      <c r="B9" s="3" t="s">
        <v>15</v>
      </c>
      <c r="C9" s="3" t="s">
        <v>12</v>
      </c>
      <c r="D9" s="3" t="s">
        <v>1</v>
      </c>
      <c r="E9" s="3" t="s">
        <v>2</v>
      </c>
      <c r="F9" s="4" t="s">
        <v>3</v>
      </c>
      <c r="G9" s="47" t="s">
        <v>13</v>
      </c>
      <c r="H9" s="48"/>
      <c r="I9" s="5" t="s">
        <v>4</v>
      </c>
      <c r="J9" s="5"/>
    </row>
    <row r="10" spans="1:14" ht="16" thickBot="1" x14ac:dyDescent="0.25">
      <c r="A10" s="10" t="s">
        <v>16</v>
      </c>
      <c r="B10" s="10" t="s">
        <v>14</v>
      </c>
      <c r="C10" s="10" t="s">
        <v>11</v>
      </c>
      <c r="D10" s="10"/>
      <c r="E10" s="10" t="s">
        <v>5</v>
      </c>
      <c r="F10" s="11" t="s">
        <v>5</v>
      </c>
      <c r="G10" s="9" t="s">
        <v>6</v>
      </c>
      <c r="H10" s="6"/>
    </row>
    <row r="11" spans="1:14" ht="16" thickTop="1" x14ac:dyDescent="0.2">
      <c r="A11" s="19" t="s">
        <v>28</v>
      </c>
      <c r="B11" s="19">
        <v>5</v>
      </c>
      <c r="C11" s="19">
        <v>200</v>
      </c>
      <c r="D11" s="18" t="s">
        <v>32</v>
      </c>
      <c r="E11" s="18">
        <v>132.84</v>
      </c>
      <c r="F11" s="32">
        <v>0.21149999999999999</v>
      </c>
      <c r="G11" s="33">
        <f>(((((F11-$F$6)*$F$3*$F$4*5598)/($F$5-$F$6))-1000*0.0017)/(E11-2))</f>
        <v>1.581420780302061</v>
      </c>
      <c r="N11" s="16"/>
    </row>
    <row r="12" spans="1:14" x14ac:dyDescent="0.2">
      <c r="A12" s="19" t="s">
        <v>28</v>
      </c>
      <c r="B12" s="19">
        <v>6</v>
      </c>
      <c r="C12" s="19">
        <v>200</v>
      </c>
      <c r="D12" s="18" t="s">
        <v>33</v>
      </c>
      <c r="E12" s="18">
        <v>135.28</v>
      </c>
      <c r="F12" s="32">
        <v>0.20349999999999999</v>
      </c>
      <c r="G12" s="33">
        <f t="shared" ref="G12:G32" si="0">(((((F12-$F$6)*$F$3*$F$4*5598)/($F$5-$F$6))-1000*0.0017)/(E12-2))</f>
        <v>1.474934868669129</v>
      </c>
    </row>
    <row r="13" spans="1:14" x14ac:dyDescent="0.2">
      <c r="A13" s="19" t="s">
        <v>28</v>
      </c>
      <c r="B13" s="19">
        <v>13</v>
      </c>
      <c r="C13" s="19">
        <v>100</v>
      </c>
      <c r="D13" s="18" t="s">
        <v>34</v>
      </c>
      <c r="E13" s="18">
        <v>134.29</v>
      </c>
      <c r="F13" s="32">
        <v>0.27</v>
      </c>
      <c r="G13" s="33">
        <f t="shared" si="0"/>
        <v>2.1352999392150123</v>
      </c>
      <c r="I13" t="s">
        <v>82</v>
      </c>
    </row>
    <row r="14" spans="1:14" x14ac:dyDescent="0.2">
      <c r="A14" s="19" t="s">
        <v>28</v>
      </c>
      <c r="B14" s="19">
        <v>14</v>
      </c>
      <c r="C14" s="19">
        <v>100</v>
      </c>
      <c r="D14" s="18" t="s">
        <v>31</v>
      </c>
      <c r="E14" s="18">
        <v>149.02000000000001</v>
      </c>
      <c r="F14" s="32">
        <v>0.34250000000000003</v>
      </c>
      <c r="G14" s="33">
        <f t="shared" si="0"/>
        <v>2.5583503626728437</v>
      </c>
    </row>
    <row r="15" spans="1:14" x14ac:dyDescent="0.2">
      <c r="A15" s="19" t="s">
        <v>28</v>
      </c>
      <c r="B15" s="19">
        <v>23</v>
      </c>
      <c r="C15" s="19">
        <v>10</v>
      </c>
      <c r="D15" s="18" t="s">
        <v>35</v>
      </c>
      <c r="E15" s="18">
        <v>130.07</v>
      </c>
      <c r="F15" s="32">
        <v>0.62649999999999995</v>
      </c>
      <c r="G15" s="33">
        <f t="shared" si="0"/>
        <v>5.8013407048248338</v>
      </c>
      <c r="N15" s="16"/>
    </row>
    <row r="16" spans="1:14" x14ac:dyDescent="0.2">
      <c r="A16" s="19" t="s">
        <v>28</v>
      </c>
      <c r="B16" s="19">
        <v>24</v>
      </c>
      <c r="C16" s="19">
        <v>10</v>
      </c>
      <c r="D16" s="18" t="s">
        <v>36</v>
      </c>
      <c r="E16" s="18">
        <v>128.62</v>
      </c>
      <c r="F16" s="32">
        <v>0.61950000000000005</v>
      </c>
      <c r="G16" s="33">
        <f t="shared" si="0"/>
        <v>5.7963643217361316</v>
      </c>
    </row>
    <row r="17" spans="1:12" x14ac:dyDescent="0.2">
      <c r="A17" s="19"/>
      <c r="B17" s="19"/>
      <c r="C17" s="19"/>
      <c r="D17" s="18"/>
      <c r="E17" s="18"/>
      <c r="F17" s="34"/>
      <c r="G17" s="35"/>
    </row>
    <row r="18" spans="1:12" x14ac:dyDescent="0.2">
      <c r="A18" s="19" t="s">
        <v>37</v>
      </c>
      <c r="B18" s="19">
        <v>1</v>
      </c>
      <c r="C18" s="19">
        <v>2600</v>
      </c>
      <c r="D18" s="19" t="s">
        <v>38</v>
      </c>
      <c r="E18" s="36">
        <v>132.34</v>
      </c>
      <c r="F18" s="37">
        <v>0.20449999999999999</v>
      </c>
      <c r="G18" s="33">
        <f t="shared" si="0"/>
        <v>1.5181144794079642</v>
      </c>
    </row>
    <row r="19" spans="1:12" x14ac:dyDescent="0.2">
      <c r="A19" s="19" t="s">
        <v>37</v>
      </c>
      <c r="B19" s="19">
        <v>2</v>
      </c>
      <c r="C19" s="19">
        <v>2600</v>
      </c>
      <c r="D19" s="19" t="s">
        <v>39</v>
      </c>
      <c r="E19" s="36">
        <v>142.80000000000001</v>
      </c>
      <c r="F19" s="37">
        <v>0.222</v>
      </c>
      <c r="G19" s="33">
        <f t="shared" si="0"/>
        <v>1.5658819273277922</v>
      </c>
    </row>
    <row r="20" spans="1:12" x14ac:dyDescent="0.2">
      <c r="A20" s="19" t="s">
        <v>37</v>
      </c>
      <c r="B20" s="38">
        <v>10</v>
      </c>
      <c r="C20" s="19">
        <v>200</v>
      </c>
      <c r="D20" s="19" t="s">
        <v>40</v>
      </c>
      <c r="E20" s="36">
        <v>130.57</v>
      </c>
      <c r="F20" s="37">
        <v>0.38300000000000001</v>
      </c>
      <c r="G20" s="33">
        <f t="shared" si="0"/>
        <v>3.3323746541772463</v>
      </c>
    </row>
    <row r="21" spans="1:12" x14ac:dyDescent="0.2">
      <c r="A21" s="19" t="s">
        <v>37</v>
      </c>
      <c r="B21" s="19">
        <v>11</v>
      </c>
      <c r="C21" s="19">
        <v>200</v>
      </c>
      <c r="D21" s="19" t="s">
        <v>41</v>
      </c>
      <c r="E21" s="36">
        <v>127.9</v>
      </c>
      <c r="F21" s="37">
        <v>0.3705</v>
      </c>
      <c r="G21" s="33">
        <f t="shared" si="0"/>
        <v>3.2747965442010489</v>
      </c>
    </row>
    <row r="22" spans="1:12" x14ac:dyDescent="0.2">
      <c r="A22" s="19" t="s">
        <v>37</v>
      </c>
      <c r="B22" s="19">
        <v>18</v>
      </c>
      <c r="C22" s="19">
        <v>10</v>
      </c>
      <c r="D22" s="19" t="s">
        <v>42</v>
      </c>
      <c r="E22" s="36">
        <v>139.63999999999999</v>
      </c>
      <c r="F22" s="37">
        <v>0.71699999999999997</v>
      </c>
      <c r="G22" s="33">
        <f t="shared" si="0"/>
        <v>6.2473012243893455</v>
      </c>
    </row>
    <row r="23" spans="1:12" x14ac:dyDescent="0.2">
      <c r="A23" s="19" t="s">
        <v>37</v>
      </c>
      <c r="B23" s="19">
        <v>19</v>
      </c>
      <c r="C23" s="19">
        <v>10</v>
      </c>
      <c r="D23" s="19" t="s">
        <v>43</v>
      </c>
      <c r="E23" s="36">
        <v>143.34</v>
      </c>
      <c r="F23" s="37">
        <v>0.73850000000000005</v>
      </c>
      <c r="G23" s="33">
        <f t="shared" si="0"/>
        <v>6.2802501941836599</v>
      </c>
    </row>
    <row r="24" spans="1:12" x14ac:dyDescent="0.2">
      <c r="A24" s="19"/>
      <c r="B24" s="19"/>
      <c r="C24" s="19"/>
      <c r="D24" s="18"/>
      <c r="E24" s="18"/>
      <c r="F24" s="34"/>
      <c r="G24" s="35"/>
    </row>
    <row r="25" spans="1:12" x14ac:dyDescent="0.2">
      <c r="A25" s="19" t="s">
        <v>44</v>
      </c>
      <c r="B25" s="19">
        <v>9</v>
      </c>
      <c r="C25" s="19">
        <v>140</v>
      </c>
      <c r="D25" s="19" t="s">
        <v>45</v>
      </c>
      <c r="E25" s="36">
        <v>138.06</v>
      </c>
      <c r="F25" s="37">
        <v>0.4995</v>
      </c>
      <c r="G25" s="33">
        <f t="shared" si="0"/>
        <v>4.2549538177328152</v>
      </c>
      <c r="K25" s="22"/>
      <c r="L25" s="22"/>
    </row>
    <row r="26" spans="1:12" x14ac:dyDescent="0.2">
      <c r="A26" s="19" t="s">
        <v>44</v>
      </c>
      <c r="B26" s="19">
        <v>10</v>
      </c>
      <c r="C26" s="19">
        <v>140</v>
      </c>
      <c r="D26" s="19" t="s">
        <v>46</v>
      </c>
      <c r="E26" s="36">
        <v>144.36000000000001</v>
      </c>
      <c r="F26" s="37">
        <v>0.52249999999999996</v>
      </c>
      <c r="G26" s="33">
        <f t="shared" si="0"/>
        <v>4.2753485620006648</v>
      </c>
      <c r="K26" s="22"/>
      <c r="L26" s="22"/>
    </row>
    <row r="27" spans="1:12" x14ac:dyDescent="0.2">
      <c r="A27" s="19" t="s">
        <v>44</v>
      </c>
      <c r="B27" s="19">
        <v>19</v>
      </c>
      <c r="C27" s="19">
        <v>40</v>
      </c>
      <c r="D27" s="19" t="s">
        <v>47</v>
      </c>
      <c r="E27" s="36">
        <v>130.30000000000001</v>
      </c>
      <c r="F27" s="37">
        <v>0.82550000000000001</v>
      </c>
      <c r="G27" s="33">
        <f t="shared" si="0"/>
        <v>7.7944689951645163</v>
      </c>
      <c r="K27" s="21"/>
      <c r="L27" s="21"/>
    </row>
    <row r="28" spans="1:12" x14ac:dyDescent="0.2">
      <c r="A28" s="19" t="s">
        <v>44</v>
      </c>
      <c r="B28" s="19">
        <v>20</v>
      </c>
      <c r="C28" s="19">
        <v>40</v>
      </c>
      <c r="D28" s="19" t="s">
        <v>48</v>
      </c>
      <c r="E28" s="36">
        <v>131.38</v>
      </c>
      <c r="F28" s="37">
        <v>0.8075</v>
      </c>
      <c r="G28" s="33">
        <f t="shared" si="0"/>
        <v>7.5496937469700285</v>
      </c>
      <c r="K28" s="20"/>
      <c r="L28" s="21"/>
    </row>
    <row r="29" spans="1:12" x14ac:dyDescent="0.2">
      <c r="A29" s="19" t="s">
        <v>44</v>
      </c>
      <c r="B29" s="19">
        <v>24</v>
      </c>
      <c r="C29" s="19">
        <v>10</v>
      </c>
      <c r="D29" s="19" t="s">
        <v>49</v>
      </c>
      <c r="E29" s="36">
        <v>131.49</v>
      </c>
      <c r="F29" s="37">
        <v>0.66900000000000004</v>
      </c>
      <c r="G29" s="33">
        <f t="shared" si="0"/>
        <v>6.1616795654795622</v>
      </c>
      <c r="K29" s="28"/>
      <c r="L29" s="21"/>
    </row>
    <row r="30" spans="1:12" x14ac:dyDescent="0.2">
      <c r="A30" s="19" t="s">
        <v>44</v>
      </c>
      <c r="B30" s="19">
        <v>23</v>
      </c>
      <c r="C30" s="19">
        <v>10</v>
      </c>
      <c r="D30" s="19" t="s">
        <v>50</v>
      </c>
      <c r="E30" s="36">
        <v>132.88</v>
      </c>
      <c r="F30" s="37">
        <v>0.67549999999999999</v>
      </c>
      <c r="G30" s="33">
        <f t="shared" si="0"/>
        <v>6.160391806293779</v>
      </c>
      <c r="K30" s="29"/>
      <c r="L30" s="21"/>
    </row>
    <row r="31" spans="1:12" x14ac:dyDescent="0.2">
      <c r="A31" s="19"/>
      <c r="B31" s="19"/>
      <c r="C31" s="19"/>
      <c r="D31" s="19"/>
      <c r="E31" s="19"/>
      <c r="F31" s="19"/>
      <c r="G31" s="19"/>
      <c r="K31" s="22"/>
      <c r="L31" s="22"/>
    </row>
    <row r="32" spans="1:12" x14ac:dyDescent="0.2">
      <c r="A32" s="19" t="s">
        <v>51</v>
      </c>
      <c r="B32" s="19" t="s">
        <v>52</v>
      </c>
      <c r="C32" s="19">
        <v>194</v>
      </c>
      <c r="D32" s="19" t="s">
        <v>81</v>
      </c>
      <c r="E32" s="19">
        <v>140.4</v>
      </c>
      <c r="F32" s="37">
        <v>0.312</v>
      </c>
      <c r="G32" s="33">
        <f t="shared" si="0"/>
        <v>2.4330285466104025</v>
      </c>
      <c r="K32" s="22"/>
      <c r="L32" s="22"/>
    </row>
  </sheetData>
  <mergeCells count="5">
    <mergeCell ref="B3:C3"/>
    <mergeCell ref="B4:C4"/>
    <mergeCell ref="B5:C5"/>
    <mergeCell ref="B6:C6"/>
    <mergeCell ref="G9:H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1585A-4770-CB41-847C-D637A761E4F2}">
  <dimension ref="A3:N32"/>
  <sheetViews>
    <sheetView workbookViewId="0"/>
  </sheetViews>
  <sheetFormatPr baseColWidth="10" defaultColWidth="8.83203125" defaultRowHeight="15" x14ac:dyDescent="0.2"/>
  <cols>
    <col min="1" max="2" width="11.5" customWidth="1"/>
    <col min="3" max="3" width="12.5" customWidth="1"/>
    <col min="4" max="4" width="14" customWidth="1"/>
    <col min="5" max="6" width="16.6640625" bestFit="1" customWidth="1"/>
    <col min="7" max="7" width="15" customWidth="1"/>
    <col min="8" max="8" width="11.33203125" customWidth="1"/>
    <col min="9" max="9" width="13.5" customWidth="1"/>
    <col min="10" max="10" width="10.6640625" customWidth="1"/>
    <col min="11" max="11" width="16" bestFit="1" customWidth="1"/>
    <col min="12" max="12" width="14.33203125" customWidth="1"/>
    <col min="13" max="13" width="10.1640625" bestFit="1" customWidth="1"/>
    <col min="15" max="15" width="12" bestFit="1" customWidth="1"/>
  </cols>
  <sheetData>
    <row r="3" spans="1:14" x14ac:dyDescent="0.2">
      <c r="A3" s="12" t="s">
        <v>18</v>
      </c>
      <c r="B3" s="46" t="s">
        <v>88</v>
      </c>
      <c r="C3" s="46"/>
      <c r="E3" s="13" t="s">
        <v>27</v>
      </c>
      <c r="F3" s="39">
        <v>10</v>
      </c>
      <c r="H3" t="s">
        <v>21</v>
      </c>
      <c r="I3" s="41">
        <v>0.48749999999999999</v>
      </c>
      <c r="J3" t="s">
        <v>8</v>
      </c>
      <c r="K3" s="41">
        <v>5.0500000000000003E-2</v>
      </c>
    </row>
    <row r="4" spans="1:14" x14ac:dyDescent="0.2">
      <c r="A4" s="15" t="s">
        <v>19</v>
      </c>
      <c r="B4" s="46"/>
      <c r="C4" s="46"/>
      <c r="E4" s="7" t="s">
        <v>10</v>
      </c>
      <c r="F4" s="39">
        <v>0.01</v>
      </c>
      <c r="G4" s="8"/>
      <c r="H4" t="s">
        <v>22</v>
      </c>
      <c r="I4" s="41">
        <v>0.503</v>
      </c>
      <c r="J4" t="s">
        <v>9</v>
      </c>
      <c r="K4" s="41">
        <v>0.10199999999999999</v>
      </c>
    </row>
    <row r="5" spans="1:14" x14ac:dyDescent="0.2">
      <c r="A5" s="15" t="s">
        <v>7</v>
      </c>
      <c r="B5" s="49">
        <v>42957</v>
      </c>
      <c r="C5" s="46"/>
      <c r="E5" s="7" t="s">
        <v>26</v>
      </c>
      <c r="F5" s="40">
        <f>AVERAGE(I3:I6)</f>
        <v>0.498</v>
      </c>
      <c r="G5" s="8"/>
      <c r="H5" t="s">
        <v>23</v>
      </c>
      <c r="I5" s="41">
        <v>0.502</v>
      </c>
      <c r="K5" s="17"/>
    </row>
    <row r="6" spans="1:14" x14ac:dyDescent="0.2">
      <c r="A6" s="14" t="s">
        <v>0</v>
      </c>
      <c r="B6" s="46"/>
      <c r="C6" s="46"/>
      <c r="E6" s="26" t="s">
        <v>25</v>
      </c>
      <c r="F6" s="40">
        <f>K4-K3</f>
        <v>5.149999999999999E-2</v>
      </c>
      <c r="G6" s="27"/>
      <c r="H6" t="s">
        <v>24</v>
      </c>
      <c r="I6" s="41">
        <v>0.4995</v>
      </c>
    </row>
    <row r="7" spans="1:14" x14ac:dyDescent="0.2">
      <c r="A7" s="12"/>
      <c r="B7" s="12"/>
      <c r="C7" s="12"/>
      <c r="D7" s="12"/>
      <c r="E7" s="12"/>
      <c r="F7" s="14"/>
      <c r="G7" s="14"/>
      <c r="H7" s="24"/>
      <c r="I7" s="25"/>
    </row>
    <row r="8" spans="1:14" x14ac:dyDescent="0.2">
      <c r="G8" s="1"/>
      <c r="H8" s="1"/>
      <c r="I8" s="2"/>
    </row>
    <row r="9" spans="1:14" x14ac:dyDescent="0.2">
      <c r="A9" s="3" t="s">
        <v>17</v>
      </c>
      <c r="B9" s="3" t="s">
        <v>15</v>
      </c>
      <c r="C9" s="3" t="s">
        <v>12</v>
      </c>
      <c r="D9" s="3" t="s">
        <v>1</v>
      </c>
      <c r="E9" s="3" t="s">
        <v>2</v>
      </c>
      <c r="F9" s="4" t="s">
        <v>3</v>
      </c>
      <c r="G9" s="47" t="s">
        <v>13</v>
      </c>
      <c r="H9" s="48"/>
      <c r="I9" s="5" t="s">
        <v>4</v>
      </c>
      <c r="J9" s="5"/>
    </row>
    <row r="10" spans="1:14" ht="16" thickBot="1" x14ac:dyDescent="0.25">
      <c r="A10" s="10" t="s">
        <v>16</v>
      </c>
      <c r="B10" s="10" t="s">
        <v>14</v>
      </c>
      <c r="C10" s="10" t="s">
        <v>11</v>
      </c>
      <c r="D10" s="10"/>
      <c r="E10" s="10" t="s">
        <v>5</v>
      </c>
      <c r="F10" s="11" t="s">
        <v>5</v>
      </c>
      <c r="G10" s="9" t="s">
        <v>6</v>
      </c>
      <c r="H10" s="6"/>
    </row>
    <row r="11" spans="1:14" ht="16" thickTop="1" x14ac:dyDescent="0.2">
      <c r="A11" s="23" t="s">
        <v>53</v>
      </c>
      <c r="B11" s="23">
        <v>1</v>
      </c>
      <c r="C11" s="23">
        <v>2900</v>
      </c>
      <c r="D11" s="23" t="s">
        <v>54</v>
      </c>
      <c r="E11" s="36">
        <v>149.02000000000001</v>
      </c>
      <c r="F11" s="37">
        <v>0.26150000000000001</v>
      </c>
      <c r="G11" s="33">
        <f>(((((F11-$F$6)*$F$3*$F$4*5598)/($F$5-$F$6))-1000*0.0017)/(E11-2))</f>
        <v>1.7792667252956573</v>
      </c>
      <c r="N11" s="16"/>
    </row>
    <row r="12" spans="1:14" x14ac:dyDescent="0.2">
      <c r="A12" s="23" t="s">
        <v>53</v>
      </c>
      <c r="B12" s="23">
        <v>2</v>
      </c>
      <c r="C12" s="23">
        <v>2900</v>
      </c>
      <c r="D12" s="23" t="s">
        <v>55</v>
      </c>
      <c r="E12" s="36">
        <v>142.80000000000001</v>
      </c>
      <c r="F12" s="37">
        <v>0.26100000000000001</v>
      </c>
      <c r="G12" s="33">
        <f t="shared" ref="G12:G18" si="0">(((((F12-$F$6)*$F$3*$F$4*5598)/($F$5-$F$6))-1000*0.0017)/(E12-2))</f>
        <v>1.8534156125928944</v>
      </c>
    </row>
    <row r="13" spans="1:14" x14ac:dyDescent="0.2">
      <c r="A13" s="23" t="s">
        <v>53</v>
      </c>
      <c r="B13" s="23">
        <v>3</v>
      </c>
      <c r="C13" s="23">
        <v>2500</v>
      </c>
      <c r="D13" s="23" t="s">
        <v>56</v>
      </c>
      <c r="E13" s="36">
        <v>136.66999999999999</v>
      </c>
      <c r="F13" s="37">
        <v>0.23449999999999999</v>
      </c>
      <c r="G13" s="33">
        <f t="shared" si="0"/>
        <v>1.6910708113092343</v>
      </c>
    </row>
    <row r="14" spans="1:14" x14ac:dyDescent="0.2">
      <c r="A14" s="23" t="s">
        <v>53</v>
      </c>
      <c r="B14" s="23">
        <v>4</v>
      </c>
      <c r="C14" s="23">
        <v>2500</v>
      </c>
      <c r="D14" s="23" t="s">
        <v>49</v>
      </c>
      <c r="E14" s="36">
        <v>131.49</v>
      </c>
      <c r="F14" s="37">
        <v>0.2505</v>
      </c>
      <c r="G14" s="33">
        <f t="shared" si="0"/>
        <v>1.9136344779939081</v>
      </c>
    </row>
    <row r="15" spans="1:14" x14ac:dyDescent="0.2">
      <c r="A15" s="23" t="s">
        <v>53</v>
      </c>
      <c r="B15" s="23">
        <v>13</v>
      </c>
      <c r="C15" s="23">
        <v>250</v>
      </c>
      <c r="D15" s="23" t="s">
        <v>47</v>
      </c>
      <c r="E15" s="36">
        <v>130.30000000000001</v>
      </c>
      <c r="F15" s="37">
        <v>0.2225</v>
      </c>
      <c r="G15" s="33">
        <f t="shared" si="0"/>
        <v>1.6577668695378185</v>
      </c>
      <c r="N15" s="16"/>
    </row>
    <row r="16" spans="1:14" x14ac:dyDescent="0.2">
      <c r="A16" s="23" t="s">
        <v>53</v>
      </c>
      <c r="B16" s="23">
        <v>14</v>
      </c>
      <c r="C16" s="23">
        <v>250</v>
      </c>
      <c r="D16" s="23" t="s">
        <v>83</v>
      </c>
      <c r="E16" s="36">
        <v>142.56</v>
      </c>
      <c r="F16" s="37">
        <v>0.24</v>
      </c>
      <c r="G16" s="33">
        <f t="shared" si="0"/>
        <v>1.6692667818567359</v>
      </c>
    </row>
    <row r="17" spans="1:12" x14ac:dyDescent="0.2">
      <c r="A17" s="23" t="s">
        <v>53</v>
      </c>
      <c r="B17" s="23">
        <v>23</v>
      </c>
      <c r="C17" s="23">
        <v>10</v>
      </c>
      <c r="D17" s="18" t="s">
        <v>84</v>
      </c>
      <c r="E17" s="18">
        <v>130.57</v>
      </c>
      <c r="F17" s="34">
        <v>0.75600000000000001</v>
      </c>
      <c r="G17" s="45">
        <f t="shared" si="0"/>
        <v>6.8567151057184201</v>
      </c>
    </row>
    <row r="18" spans="1:12" x14ac:dyDescent="0.2">
      <c r="A18" s="23" t="s">
        <v>53</v>
      </c>
      <c r="B18" s="23">
        <v>24</v>
      </c>
      <c r="C18" s="23">
        <v>10</v>
      </c>
      <c r="D18" s="23" t="s">
        <v>85</v>
      </c>
      <c r="E18" s="36">
        <v>139.63999999999999</v>
      </c>
      <c r="F18" s="37">
        <v>0.81899999999999995</v>
      </c>
      <c r="G18" s="33">
        <f t="shared" si="0"/>
        <v>6.978743093055126</v>
      </c>
    </row>
    <row r="19" spans="1:12" x14ac:dyDescent="0.2">
      <c r="A19" s="23"/>
      <c r="B19" s="23"/>
      <c r="C19" s="23"/>
      <c r="D19" s="23"/>
      <c r="E19" s="23"/>
      <c r="F19" s="23"/>
      <c r="G19" s="23"/>
    </row>
    <row r="20" spans="1:12" x14ac:dyDescent="0.2">
      <c r="A20" s="23" t="s">
        <v>57</v>
      </c>
      <c r="B20" s="23">
        <v>13</v>
      </c>
      <c r="C20" s="23">
        <v>100</v>
      </c>
      <c r="D20" s="23" t="s">
        <v>58</v>
      </c>
      <c r="E20" s="36">
        <v>140.4</v>
      </c>
      <c r="F20" s="37">
        <v>0.373</v>
      </c>
      <c r="G20" s="33">
        <f>(((((F20-$F$6)*$F$3*$F$4*5598)/($F$5-$F$6))-1000*0.0017)/(E20-2))</f>
        <v>2.9001522762138401</v>
      </c>
    </row>
    <row r="21" spans="1:12" x14ac:dyDescent="0.2">
      <c r="A21" s="23" t="s">
        <v>57</v>
      </c>
      <c r="B21" s="23">
        <v>14</v>
      </c>
      <c r="C21" s="23">
        <v>100</v>
      </c>
      <c r="D21" s="23" t="s">
        <v>29</v>
      </c>
      <c r="E21" s="36">
        <v>135.28</v>
      </c>
      <c r="F21" s="37">
        <v>0.36199999999999999</v>
      </c>
      <c r="G21" s="33">
        <f>(((((F21-$F$6)*$F$3*$F$4*5598)/($F$5-$F$6))-1000*0.0017)/(E21-2))</f>
        <v>2.9080868069512245</v>
      </c>
    </row>
    <row r="22" spans="1:12" x14ac:dyDescent="0.2">
      <c r="A22" s="23" t="s">
        <v>57</v>
      </c>
      <c r="B22" s="23">
        <v>15</v>
      </c>
      <c r="C22" s="23">
        <v>80</v>
      </c>
      <c r="D22" s="23" t="s">
        <v>20</v>
      </c>
      <c r="E22" s="36">
        <v>132.84</v>
      </c>
      <c r="F22" s="37">
        <v>0.36749999999999999</v>
      </c>
      <c r="G22" s="33">
        <f>(((((F22-$F$6)*$F$3*$F$4*5598)/($F$5-$F$6))-1000*0.0017)/(E22-2))</f>
        <v>3.0150217237024406</v>
      </c>
    </row>
    <row r="23" spans="1:12" x14ac:dyDescent="0.2">
      <c r="A23" s="23" t="s">
        <v>57</v>
      </c>
      <c r="B23" s="23">
        <v>16</v>
      </c>
      <c r="C23" s="23">
        <v>80</v>
      </c>
      <c r="D23" s="23" t="s">
        <v>41</v>
      </c>
      <c r="E23" s="36">
        <v>127.9</v>
      </c>
      <c r="F23" s="37">
        <v>0.33750000000000002</v>
      </c>
      <c r="G23" s="33">
        <f>(((((F23-$F$6)*$F$3*$F$4*5598)/($F$5-$F$6))-1000*0.0017)/(E23-2))</f>
        <v>2.8345742679582711</v>
      </c>
    </row>
    <row r="24" spans="1:12" x14ac:dyDescent="0.2">
      <c r="A24" s="23" t="s">
        <v>57</v>
      </c>
      <c r="B24" s="23">
        <v>24</v>
      </c>
      <c r="C24" s="23">
        <v>10</v>
      </c>
      <c r="D24" s="23" t="s">
        <v>30</v>
      </c>
      <c r="E24" s="36">
        <v>134.29</v>
      </c>
      <c r="F24" s="37">
        <v>0.61199999999999999</v>
      </c>
      <c r="G24" s="33">
        <f>(((((F24-$F$6)*$F$3*$F$4*5598)/($F$5-$F$6))-1000*0.0017)/(E24-2))</f>
        <v>5.2991734792839065</v>
      </c>
    </row>
    <row r="25" spans="1:12" x14ac:dyDescent="0.2">
      <c r="A25" s="23"/>
      <c r="B25" s="23"/>
      <c r="C25" s="23"/>
      <c r="D25" s="23"/>
      <c r="E25" s="36"/>
      <c r="F25" s="37"/>
      <c r="G25" s="42"/>
      <c r="K25" s="22"/>
      <c r="L25" s="22"/>
    </row>
    <row r="26" spans="1:12" x14ac:dyDescent="0.2">
      <c r="A26" s="19"/>
      <c r="B26" s="19"/>
      <c r="C26" s="19"/>
      <c r="D26" s="19"/>
      <c r="E26" s="36"/>
      <c r="F26" s="37"/>
      <c r="G26" s="42"/>
      <c r="K26" s="22"/>
      <c r="L26" s="22"/>
    </row>
    <row r="27" spans="1:12" x14ac:dyDescent="0.2">
      <c r="A27" s="19"/>
      <c r="B27" s="19"/>
      <c r="C27" s="19"/>
      <c r="D27" s="19"/>
      <c r="E27" s="36"/>
      <c r="F27" s="37"/>
      <c r="G27" s="42"/>
      <c r="K27" s="21"/>
      <c r="L27" s="21"/>
    </row>
    <row r="28" spans="1:12" x14ac:dyDescent="0.2">
      <c r="A28" s="19"/>
      <c r="B28" s="19"/>
      <c r="C28" s="19"/>
      <c r="D28" s="19"/>
      <c r="E28" s="36"/>
      <c r="F28" s="37"/>
      <c r="G28" s="42"/>
      <c r="K28" s="20"/>
      <c r="L28" s="21"/>
    </row>
    <row r="29" spans="1:12" x14ac:dyDescent="0.2">
      <c r="A29" s="19"/>
      <c r="B29" s="19"/>
      <c r="C29" s="19"/>
      <c r="D29" s="19"/>
      <c r="E29" s="36"/>
      <c r="F29" s="37"/>
      <c r="G29" s="42"/>
      <c r="K29" s="28"/>
      <c r="L29" s="21"/>
    </row>
    <row r="30" spans="1:12" x14ac:dyDescent="0.2">
      <c r="A30" s="19"/>
      <c r="B30" s="19"/>
      <c r="C30" s="19"/>
      <c r="D30" s="19"/>
      <c r="E30" s="36"/>
      <c r="F30" s="37"/>
      <c r="G30" s="42"/>
      <c r="K30" s="29"/>
      <c r="L30" s="21"/>
    </row>
    <row r="31" spans="1:12" x14ac:dyDescent="0.2">
      <c r="A31" s="19"/>
      <c r="B31" s="19"/>
      <c r="C31" s="19"/>
      <c r="D31" s="19"/>
      <c r="E31" s="19"/>
      <c r="F31" s="19"/>
      <c r="G31" s="18"/>
      <c r="K31" s="22"/>
      <c r="L31" s="22"/>
    </row>
    <row r="32" spans="1:12" x14ac:dyDescent="0.2">
      <c r="A32" s="19"/>
      <c r="B32" s="19"/>
      <c r="C32" s="19"/>
      <c r="D32" s="19"/>
      <c r="E32" s="19"/>
      <c r="F32" s="37"/>
      <c r="G32" s="42"/>
      <c r="K32" s="22"/>
      <c r="L32" s="22"/>
    </row>
  </sheetData>
  <mergeCells count="5">
    <mergeCell ref="B3:C3"/>
    <mergeCell ref="B4:C4"/>
    <mergeCell ref="B5:C5"/>
    <mergeCell ref="B6:C6"/>
    <mergeCell ref="G9:H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37672-8B38-7549-B96B-8449B0222CD6}">
  <dimension ref="A3:N37"/>
  <sheetViews>
    <sheetView workbookViewId="0"/>
  </sheetViews>
  <sheetFormatPr baseColWidth="10" defaultColWidth="8.83203125" defaultRowHeight="15" x14ac:dyDescent="0.2"/>
  <cols>
    <col min="1" max="2" width="11.5" customWidth="1"/>
    <col min="3" max="3" width="12.5" customWidth="1"/>
    <col min="4" max="4" width="14" customWidth="1"/>
    <col min="5" max="6" width="16.6640625" bestFit="1" customWidth="1"/>
    <col min="7" max="7" width="15" customWidth="1"/>
    <col min="8" max="8" width="11.33203125" customWidth="1"/>
    <col min="9" max="9" width="13.5" customWidth="1"/>
    <col min="10" max="10" width="10.6640625" customWidth="1"/>
    <col min="11" max="11" width="16" bestFit="1" customWidth="1"/>
    <col min="12" max="12" width="14.33203125" customWidth="1"/>
    <col min="13" max="13" width="10.1640625" bestFit="1" customWidth="1"/>
    <col min="15" max="15" width="12" bestFit="1" customWidth="1"/>
  </cols>
  <sheetData>
    <row r="3" spans="1:14" x14ac:dyDescent="0.2">
      <c r="A3" s="12" t="s">
        <v>18</v>
      </c>
      <c r="B3" s="46" t="s">
        <v>87</v>
      </c>
      <c r="C3" s="46"/>
      <c r="E3" s="13" t="s">
        <v>27</v>
      </c>
      <c r="F3" s="39">
        <v>10</v>
      </c>
      <c r="H3" t="s">
        <v>21</v>
      </c>
      <c r="I3" s="41">
        <v>0.47449999999999998</v>
      </c>
      <c r="J3" t="s">
        <v>8</v>
      </c>
      <c r="K3" s="41">
        <v>5.1999999999999998E-2</v>
      </c>
    </row>
    <row r="4" spans="1:14" x14ac:dyDescent="0.2">
      <c r="A4" s="15" t="s">
        <v>19</v>
      </c>
      <c r="B4" s="46"/>
      <c r="C4" s="46"/>
      <c r="E4" s="7" t="s">
        <v>10</v>
      </c>
      <c r="F4" s="39">
        <v>0.01</v>
      </c>
      <c r="G4" s="8"/>
      <c r="H4" t="s">
        <v>22</v>
      </c>
      <c r="I4" s="41">
        <v>0.4985</v>
      </c>
      <c r="J4" t="s">
        <v>9</v>
      </c>
      <c r="K4" s="41">
        <v>0.10299999999999999</v>
      </c>
    </row>
    <row r="5" spans="1:14" x14ac:dyDescent="0.2">
      <c r="A5" s="15" t="s">
        <v>7</v>
      </c>
      <c r="B5" s="49">
        <v>42962</v>
      </c>
      <c r="C5" s="46"/>
      <c r="E5" s="7" t="s">
        <v>26</v>
      </c>
      <c r="F5" s="40">
        <f>AVERAGE(I3:I6)</f>
        <v>0.49225000000000002</v>
      </c>
      <c r="G5" s="8"/>
      <c r="H5" t="s">
        <v>23</v>
      </c>
      <c r="I5" s="41">
        <v>0.498</v>
      </c>
      <c r="K5" s="17"/>
    </row>
    <row r="6" spans="1:14" x14ac:dyDescent="0.2">
      <c r="A6" s="14" t="s">
        <v>0</v>
      </c>
      <c r="B6" s="46"/>
      <c r="C6" s="46"/>
      <c r="E6" s="26" t="s">
        <v>25</v>
      </c>
      <c r="F6" s="40">
        <f>K4-K3</f>
        <v>5.0999999999999997E-2</v>
      </c>
      <c r="G6" s="27"/>
      <c r="H6" t="s">
        <v>24</v>
      </c>
      <c r="I6" s="41">
        <v>0.498</v>
      </c>
    </row>
    <row r="7" spans="1:14" x14ac:dyDescent="0.2">
      <c r="A7" s="12"/>
      <c r="B7" s="12"/>
      <c r="C7" s="12"/>
      <c r="D7" s="12"/>
      <c r="E7" s="12"/>
      <c r="F7" s="14"/>
      <c r="G7" s="14"/>
      <c r="H7" s="24"/>
      <c r="I7" s="25"/>
    </row>
    <row r="8" spans="1:14" x14ac:dyDescent="0.2">
      <c r="G8" s="1"/>
      <c r="H8" s="1"/>
      <c r="I8" s="2"/>
    </row>
    <row r="9" spans="1:14" x14ac:dyDescent="0.2">
      <c r="A9" s="3" t="s">
        <v>17</v>
      </c>
      <c r="B9" s="3" t="s">
        <v>15</v>
      </c>
      <c r="C9" s="3" t="s">
        <v>12</v>
      </c>
      <c r="D9" s="3" t="s">
        <v>1</v>
      </c>
      <c r="E9" s="3" t="s">
        <v>2</v>
      </c>
      <c r="F9" s="4" t="s">
        <v>3</v>
      </c>
      <c r="G9" s="47" t="s">
        <v>13</v>
      </c>
      <c r="H9" s="48"/>
      <c r="I9" s="5" t="s">
        <v>4</v>
      </c>
      <c r="J9" s="5"/>
    </row>
    <row r="10" spans="1:14" ht="16" thickBot="1" x14ac:dyDescent="0.25">
      <c r="A10" s="10" t="s">
        <v>16</v>
      </c>
      <c r="B10" s="10" t="s">
        <v>14</v>
      </c>
      <c r="C10" s="10" t="s">
        <v>11</v>
      </c>
      <c r="D10" s="10"/>
      <c r="E10" s="10" t="s">
        <v>5</v>
      </c>
      <c r="F10" s="11" t="s">
        <v>5</v>
      </c>
      <c r="G10" s="9" t="s">
        <v>6</v>
      </c>
      <c r="H10" s="6"/>
    </row>
    <row r="11" spans="1:14" ht="16" thickTop="1" x14ac:dyDescent="0.2">
      <c r="A11" s="23" t="s">
        <v>59</v>
      </c>
      <c r="B11" s="23">
        <v>1</v>
      </c>
      <c r="C11" s="23">
        <v>2600</v>
      </c>
      <c r="D11" s="23" t="s">
        <v>60</v>
      </c>
      <c r="E11" s="23">
        <v>127.04</v>
      </c>
      <c r="F11" s="37">
        <v>0.19850000000000001</v>
      </c>
      <c r="G11" s="33">
        <f>(((((F11-$F$6)*$F$3*$F$4*5598)/($F$5-$F$6))-1000*0.0017)/(E11-2))</f>
        <v>1.4829543497922024</v>
      </c>
      <c r="N11" s="16"/>
    </row>
    <row r="12" spans="1:14" x14ac:dyDescent="0.2">
      <c r="A12" s="23" t="s">
        <v>59</v>
      </c>
      <c r="B12" s="23">
        <v>5</v>
      </c>
      <c r="C12" s="23">
        <v>1500</v>
      </c>
      <c r="D12" s="23" t="s">
        <v>61</v>
      </c>
      <c r="E12" s="23">
        <v>131.29</v>
      </c>
      <c r="F12" s="37">
        <v>6.0499999999999998E-2</v>
      </c>
      <c r="G12" s="33">
        <f t="shared" ref="G12:G20" si="0">(((((F12-$F$6)*$F$3*$F$4*5598)/($F$5-$F$6))-1000*0.0017)/(E12-2))</f>
        <v>8.007078099456677E-2</v>
      </c>
    </row>
    <row r="13" spans="1:14" x14ac:dyDescent="0.2">
      <c r="A13" s="23" t="s">
        <v>59</v>
      </c>
      <c r="B13" s="23">
        <v>9</v>
      </c>
      <c r="C13" s="23">
        <v>950</v>
      </c>
      <c r="D13" s="23" t="s">
        <v>62</v>
      </c>
      <c r="E13" s="23">
        <v>126.55</v>
      </c>
      <c r="F13" s="37">
        <v>3.1E-2</v>
      </c>
      <c r="G13" s="33">
        <f t="shared" si="0"/>
        <v>-0.21736949903505304</v>
      </c>
    </row>
    <row r="14" spans="1:14" x14ac:dyDescent="0.2">
      <c r="A14" s="23" t="s">
        <v>59</v>
      </c>
      <c r="B14" s="23">
        <v>11</v>
      </c>
      <c r="C14" s="23">
        <v>200</v>
      </c>
      <c r="D14" s="23" t="s">
        <v>63</v>
      </c>
      <c r="E14" s="23">
        <v>133.01</v>
      </c>
      <c r="F14" s="37">
        <v>0.43</v>
      </c>
      <c r="G14" s="33">
        <f t="shared" si="0"/>
        <v>3.6571664944375293</v>
      </c>
    </row>
    <row r="15" spans="1:14" x14ac:dyDescent="0.2">
      <c r="A15" s="23" t="s">
        <v>59</v>
      </c>
      <c r="B15" s="23">
        <v>13</v>
      </c>
      <c r="C15" s="23">
        <v>100</v>
      </c>
      <c r="D15" s="23" t="s">
        <v>64</v>
      </c>
      <c r="E15" s="23">
        <v>129.96</v>
      </c>
      <c r="F15" s="37">
        <v>0.60899999999999999</v>
      </c>
      <c r="G15" s="33">
        <f t="shared" si="0"/>
        <v>5.5190454347011757</v>
      </c>
      <c r="N15" s="16"/>
    </row>
    <row r="16" spans="1:14" x14ac:dyDescent="0.2">
      <c r="A16" s="23" t="s">
        <v>59</v>
      </c>
      <c r="B16" s="23">
        <v>15</v>
      </c>
      <c r="C16" s="23">
        <v>80</v>
      </c>
      <c r="D16" s="23" t="s">
        <v>65</v>
      </c>
      <c r="E16" s="23">
        <v>133.26</v>
      </c>
      <c r="F16" s="37">
        <v>0.73850000000000005</v>
      </c>
      <c r="G16" s="33">
        <f t="shared" si="0"/>
        <v>6.6319490456197272</v>
      </c>
    </row>
    <row r="17" spans="1:12" x14ac:dyDescent="0.2">
      <c r="A17" s="23" t="s">
        <v>59</v>
      </c>
      <c r="B17" s="23">
        <v>17</v>
      </c>
      <c r="C17" s="23">
        <v>45</v>
      </c>
      <c r="D17" s="23" t="s">
        <v>66</v>
      </c>
      <c r="E17" s="23">
        <v>126.53</v>
      </c>
      <c r="F17" s="37">
        <v>0.79349999999999998</v>
      </c>
      <c r="G17" s="33">
        <f t="shared" si="0"/>
        <v>7.5506817816292369</v>
      </c>
    </row>
    <row r="18" spans="1:12" x14ac:dyDescent="0.2">
      <c r="A18" s="23" t="s">
        <v>59</v>
      </c>
      <c r="B18" s="23">
        <v>19</v>
      </c>
      <c r="C18" s="23">
        <v>20</v>
      </c>
      <c r="D18" s="23" t="s">
        <v>67</v>
      </c>
      <c r="E18" s="23">
        <v>128.15</v>
      </c>
      <c r="F18" s="37">
        <v>0.63949999999999996</v>
      </c>
      <c r="G18" s="33">
        <f t="shared" si="0"/>
        <v>5.9049658720507852</v>
      </c>
    </row>
    <row r="19" spans="1:12" x14ac:dyDescent="0.2">
      <c r="A19" s="23" t="s">
        <v>59</v>
      </c>
      <c r="B19" s="23">
        <v>21</v>
      </c>
      <c r="C19" s="23">
        <v>10</v>
      </c>
      <c r="D19" s="23" t="s">
        <v>68</v>
      </c>
      <c r="E19" s="23">
        <v>126.57</v>
      </c>
      <c r="F19" s="37">
        <v>0.61850000000000005</v>
      </c>
      <c r="G19" s="33">
        <f t="shared" si="0"/>
        <v>5.7659902472437192</v>
      </c>
    </row>
    <row r="20" spans="1:12" x14ac:dyDescent="0.2">
      <c r="A20" s="23" t="s">
        <v>59</v>
      </c>
      <c r="B20" s="23">
        <v>23</v>
      </c>
      <c r="C20" s="23">
        <v>5</v>
      </c>
      <c r="D20" s="23" t="s">
        <v>69</v>
      </c>
      <c r="E20" s="23">
        <v>140.93</v>
      </c>
      <c r="F20" s="37">
        <v>0.70199999999999996</v>
      </c>
      <c r="G20" s="33">
        <f t="shared" si="0"/>
        <v>5.9325072299845685</v>
      </c>
    </row>
    <row r="21" spans="1:12" x14ac:dyDescent="0.2">
      <c r="A21" s="18"/>
      <c r="B21" s="17"/>
      <c r="C21" s="17"/>
      <c r="D21" s="17"/>
      <c r="E21" s="43"/>
      <c r="F21" s="30"/>
      <c r="G21" s="42"/>
    </row>
    <row r="22" spans="1:12" x14ac:dyDescent="0.2">
      <c r="A22" s="18"/>
      <c r="F22" s="31"/>
      <c r="G22" s="42"/>
    </row>
    <row r="23" spans="1:12" x14ac:dyDescent="0.2">
      <c r="A23" s="18"/>
      <c r="F23" s="31"/>
      <c r="G23" s="42"/>
    </row>
    <row r="24" spans="1:12" x14ac:dyDescent="0.2">
      <c r="A24" s="18"/>
      <c r="F24" s="31"/>
      <c r="G24" s="35"/>
    </row>
    <row r="25" spans="1:12" x14ac:dyDescent="0.2">
      <c r="A25" s="18"/>
      <c r="F25" s="31"/>
      <c r="G25" s="42"/>
      <c r="K25" s="22"/>
      <c r="L25" s="22"/>
    </row>
    <row r="26" spans="1:12" x14ac:dyDescent="0.2">
      <c r="A26" s="18"/>
      <c r="F26" s="31"/>
      <c r="G26" s="42"/>
      <c r="K26" s="22"/>
      <c r="L26" s="22"/>
    </row>
    <row r="27" spans="1:12" x14ac:dyDescent="0.2">
      <c r="A27" s="18"/>
      <c r="F27" s="31"/>
      <c r="G27" s="42"/>
      <c r="K27" s="21"/>
      <c r="L27" s="21"/>
    </row>
    <row r="28" spans="1:12" x14ac:dyDescent="0.2">
      <c r="A28" s="19"/>
      <c r="B28" s="19"/>
      <c r="C28" s="19"/>
      <c r="D28" s="19"/>
      <c r="E28" s="36"/>
      <c r="F28" s="37"/>
      <c r="G28" s="42"/>
      <c r="K28" s="20"/>
      <c r="L28" s="21"/>
    </row>
    <row r="29" spans="1:12" x14ac:dyDescent="0.2">
      <c r="A29" s="19"/>
      <c r="F29" s="31"/>
      <c r="G29" s="42"/>
      <c r="K29" s="28"/>
      <c r="L29" s="21"/>
    </row>
    <row r="30" spans="1:12" x14ac:dyDescent="0.2">
      <c r="A30" s="19"/>
      <c r="F30" s="31"/>
      <c r="G30" s="42"/>
      <c r="K30" s="29"/>
      <c r="L30" s="21"/>
    </row>
    <row r="31" spans="1:12" x14ac:dyDescent="0.2">
      <c r="A31" s="19"/>
      <c r="F31" s="31"/>
      <c r="G31" s="18"/>
      <c r="K31" s="22"/>
      <c r="L31" s="22"/>
    </row>
    <row r="32" spans="1:12" x14ac:dyDescent="0.2">
      <c r="A32" s="19"/>
      <c r="F32" s="31"/>
      <c r="G32" s="42"/>
      <c r="K32" s="22"/>
      <c r="L32" s="22"/>
    </row>
    <row r="34" spans="1:6" x14ac:dyDescent="0.2">
      <c r="A34" s="19"/>
      <c r="F34" s="31"/>
    </row>
    <row r="35" spans="1:6" x14ac:dyDescent="0.2">
      <c r="F35" s="31"/>
    </row>
    <row r="36" spans="1:6" x14ac:dyDescent="0.2">
      <c r="F36" s="31"/>
    </row>
    <row r="37" spans="1:6" x14ac:dyDescent="0.2">
      <c r="F37" s="31"/>
    </row>
  </sheetData>
  <mergeCells count="5">
    <mergeCell ref="B3:C3"/>
    <mergeCell ref="B4:C4"/>
    <mergeCell ref="B5:C5"/>
    <mergeCell ref="B6:C6"/>
    <mergeCell ref="G9:H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E8200-CECB-724E-B9B7-5A9DDAC10AF6}">
  <dimension ref="A3:L26"/>
  <sheetViews>
    <sheetView workbookViewId="0"/>
  </sheetViews>
  <sheetFormatPr baseColWidth="10" defaultColWidth="8.83203125" defaultRowHeight="15" x14ac:dyDescent="0.2"/>
  <cols>
    <col min="1" max="2" width="11.5" customWidth="1"/>
    <col min="3" max="3" width="12.5" customWidth="1"/>
    <col min="4" max="4" width="14" customWidth="1"/>
    <col min="5" max="6" width="16.6640625" bestFit="1" customWidth="1"/>
    <col min="7" max="7" width="15" customWidth="1"/>
    <col min="8" max="8" width="11.33203125" customWidth="1"/>
    <col min="9" max="9" width="13.5" customWidth="1"/>
    <col min="10" max="10" width="10.6640625" customWidth="1"/>
    <col min="11" max="11" width="16" bestFit="1" customWidth="1"/>
    <col min="12" max="12" width="14.33203125" customWidth="1"/>
    <col min="13" max="13" width="10.1640625" bestFit="1" customWidth="1"/>
    <col min="15" max="15" width="12" bestFit="1" customWidth="1"/>
  </cols>
  <sheetData>
    <row r="3" spans="1:12" x14ac:dyDescent="0.2">
      <c r="A3" s="12" t="s">
        <v>18</v>
      </c>
      <c r="B3" s="46" t="s">
        <v>86</v>
      </c>
      <c r="C3" s="46"/>
      <c r="E3" s="13" t="s">
        <v>27</v>
      </c>
      <c r="F3" s="39">
        <v>10</v>
      </c>
      <c r="H3" t="s">
        <v>21</v>
      </c>
      <c r="I3" s="41">
        <v>0.4965</v>
      </c>
      <c r="J3" t="s">
        <v>8</v>
      </c>
      <c r="K3" s="41">
        <v>5.1999999999999998E-2</v>
      </c>
    </row>
    <row r="4" spans="1:12" x14ac:dyDescent="0.2">
      <c r="A4" s="15" t="s">
        <v>19</v>
      </c>
      <c r="B4" s="46"/>
      <c r="C4" s="46"/>
      <c r="E4" s="7" t="s">
        <v>10</v>
      </c>
      <c r="F4" s="39">
        <v>0.01</v>
      </c>
      <c r="G4" s="8"/>
      <c r="H4" t="s">
        <v>22</v>
      </c>
      <c r="I4" s="41">
        <v>0.51100000000000001</v>
      </c>
      <c r="J4" t="s">
        <v>9</v>
      </c>
      <c r="K4" s="41">
        <v>0.104</v>
      </c>
    </row>
    <row r="5" spans="1:12" x14ac:dyDescent="0.2">
      <c r="A5" s="15" t="s">
        <v>7</v>
      </c>
      <c r="B5" s="49">
        <v>42973</v>
      </c>
      <c r="C5" s="46"/>
      <c r="E5" s="7" t="s">
        <v>26</v>
      </c>
      <c r="F5" s="40">
        <f>AVERAGE(I3:I6)</f>
        <v>0.50512500000000005</v>
      </c>
      <c r="G5" s="8"/>
      <c r="H5" t="s">
        <v>23</v>
      </c>
      <c r="I5" s="41">
        <v>0.50600000000000001</v>
      </c>
      <c r="K5" s="17"/>
    </row>
    <row r="6" spans="1:12" x14ac:dyDescent="0.2">
      <c r="A6" s="14" t="s">
        <v>0</v>
      </c>
      <c r="B6" s="46"/>
      <c r="C6" s="46"/>
      <c r="E6" s="26" t="s">
        <v>25</v>
      </c>
      <c r="F6" s="40">
        <f>K4-K3</f>
        <v>5.1999999999999998E-2</v>
      </c>
      <c r="G6" s="27"/>
      <c r="H6" t="s">
        <v>24</v>
      </c>
      <c r="I6" s="41">
        <v>0.50700000000000001</v>
      </c>
    </row>
    <row r="7" spans="1:12" x14ac:dyDescent="0.2">
      <c r="A7" s="12"/>
      <c r="B7" s="12"/>
      <c r="C7" s="12"/>
      <c r="D7" s="12"/>
      <c r="E7" s="12"/>
      <c r="F7" s="14"/>
      <c r="G7" s="14"/>
      <c r="H7" s="24"/>
      <c r="I7" s="25"/>
    </row>
    <row r="8" spans="1:12" x14ac:dyDescent="0.2">
      <c r="G8" s="1"/>
      <c r="H8" s="1"/>
      <c r="I8" s="2"/>
    </row>
    <row r="9" spans="1:12" x14ac:dyDescent="0.2">
      <c r="A9" s="3" t="s">
        <v>17</v>
      </c>
      <c r="B9" s="3" t="s">
        <v>15</v>
      </c>
      <c r="C9" s="3" t="s">
        <v>12</v>
      </c>
      <c r="D9" s="3" t="s">
        <v>1</v>
      </c>
      <c r="E9" s="3" t="s">
        <v>2</v>
      </c>
      <c r="F9" s="4" t="s">
        <v>3</v>
      </c>
      <c r="G9" s="47" t="s">
        <v>13</v>
      </c>
      <c r="H9" s="48"/>
      <c r="I9" s="5" t="s">
        <v>4</v>
      </c>
      <c r="J9" s="5"/>
    </row>
    <row r="10" spans="1:12" ht="16" thickBot="1" x14ac:dyDescent="0.25">
      <c r="A10" s="10" t="s">
        <v>16</v>
      </c>
      <c r="B10" s="10" t="s">
        <v>14</v>
      </c>
      <c r="C10" s="10" t="s">
        <v>11</v>
      </c>
      <c r="D10" s="10"/>
      <c r="E10" s="10" t="s">
        <v>5</v>
      </c>
      <c r="F10" s="11" t="s">
        <v>5</v>
      </c>
      <c r="G10" s="9" t="s">
        <v>6</v>
      </c>
      <c r="H10" s="6"/>
    </row>
    <row r="11" spans="1:12" ht="16" thickTop="1" x14ac:dyDescent="0.2">
      <c r="A11" s="18" t="s">
        <v>70</v>
      </c>
      <c r="B11" s="44">
        <v>1</v>
      </c>
      <c r="C11" s="44">
        <v>220</v>
      </c>
      <c r="D11" s="44" t="s">
        <v>60</v>
      </c>
      <c r="E11" s="44">
        <v>127.04</v>
      </c>
      <c r="F11" s="37">
        <v>0.193</v>
      </c>
      <c r="G11" s="33">
        <f t="shared" ref="G11:G26" si="0">(((((F11-$F$6)*$F$3*$F$4*5598)/($F$5-$F$6))-1000*0.0017)/(E11-2))</f>
        <v>1.3795130937410374</v>
      </c>
    </row>
    <row r="12" spans="1:12" x14ac:dyDescent="0.2">
      <c r="A12" s="18" t="s">
        <v>70</v>
      </c>
      <c r="B12" s="44">
        <v>5</v>
      </c>
      <c r="C12" s="44">
        <v>180</v>
      </c>
      <c r="D12" s="44" t="s">
        <v>62</v>
      </c>
      <c r="E12" s="44">
        <v>126.55</v>
      </c>
      <c r="F12" s="37">
        <v>0.182</v>
      </c>
      <c r="G12" s="33">
        <f t="shared" si="0"/>
        <v>1.2758305070668199</v>
      </c>
    </row>
    <row r="13" spans="1:12" x14ac:dyDescent="0.2">
      <c r="A13" s="18" t="s">
        <v>70</v>
      </c>
      <c r="B13" s="44">
        <v>19</v>
      </c>
      <c r="C13" s="44">
        <v>40</v>
      </c>
      <c r="D13" s="44" t="s">
        <v>61</v>
      </c>
      <c r="E13" s="44">
        <v>131.29</v>
      </c>
      <c r="F13" s="37">
        <v>0.74850000000000005</v>
      </c>
      <c r="G13" s="33">
        <f t="shared" si="0"/>
        <v>6.6422036533747972</v>
      </c>
    </row>
    <row r="14" spans="1:12" x14ac:dyDescent="0.2">
      <c r="A14" s="18" t="s">
        <v>70</v>
      </c>
      <c r="B14" s="44">
        <v>20</v>
      </c>
      <c r="C14" s="44">
        <v>40</v>
      </c>
      <c r="D14" s="44" t="s">
        <v>64</v>
      </c>
      <c r="E14" s="44">
        <v>129.96</v>
      </c>
      <c r="F14" s="37">
        <v>0.74050000000000005</v>
      </c>
      <c r="G14" s="33">
        <f t="shared" si="0"/>
        <v>6.6340039451983897</v>
      </c>
      <c r="K14" s="22"/>
      <c r="L14" s="22"/>
    </row>
    <row r="15" spans="1:12" x14ac:dyDescent="0.2">
      <c r="A15" s="18" t="s">
        <v>70</v>
      </c>
      <c r="B15" s="44">
        <v>23</v>
      </c>
      <c r="C15" s="44">
        <v>10</v>
      </c>
      <c r="D15" s="44" t="s">
        <v>66</v>
      </c>
      <c r="E15" s="44">
        <v>126.53</v>
      </c>
      <c r="F15" s="37">
        <v>0.64900000000000002</v>
      </c>
      <c r="G15" s="33">
        <f t="shared" si="0"/>
        <v>5.9089870049316442</v>
      </c>
      <c r="K15" s="22"/>
      <c r="L15" s="22"/>
    </row>
    <row r="16" spans="1:12" x14ac:dyDescent="0.2">
      <c r="A16" s="18" t="s">
        <v>70</v>
      </c>
      <c r="B16" s="44">
        <v>24</v>
      </c>
      <c r="C16" s="44">
        <v>10</v>
      </c>
      <c r="D16" s="44" t="s">
        <v>68</v>
      </c>
      <c r="E16" s="44">
        <v>126.57</v>
      </c>
      <c r="F16" s="37">
        <v>0.64800000000000002</v>
      </c>
      <c r="G16" s="33">
        <f t="shared" si="0"/>
        <v>5.8971721203699348</v>
      </c>
      <c r="K16" s="21"/>
      <c r="L16" s="21"/>
    </row>
    <row r="17" spans="1:12" x14ac:dyDescent="0.2">
      <c r="A17" s="44"/>
      <c r="B17" s="44"/>
      <c r="C17" s="44"/>
      <c r="D17" s="44"/>
      <c r="E17" s="36"/>
      <c r="F17" s="37"/>
      <c r="G17" s="42"/>
      <c r="K17" s="20"/>
      <c r="L17" s="21"/>
    </row>
    <row r="18" spans="1:12" x14ac:dyDescent="0.2">
      <c r="A18" s="44" t="s">
        <v>71</v>
      </c>
      <c r="B18" s="44" t="s">
        <v>72</v>
      </c>
      <c r="C18" s="44">
        <v>2551</v>
      </c>
      <c r="D18" s="44" t="s">
        <v>73</v>
      </c>
      <c r="E18" s="44">
        <v>131.85</v>
      </c>
      <c r="F18" s="37">
        <v>0.222</v>
      </c>
      <c r="G18" s="33">
        <f t="shared" si="0"/>
        <v>1.6043243530333411</v>
      </c>
      <c r="K18" s="28"/>
      <c r="L18" s="21"/>
    </row>
    <row r="19" spans="1:12" x14ac:dyDescent="0.2">
      <c r="A19" s="44" t="s">
        <v>71</v>
      </c>
      <c r="B19" s="44" t="s">
        <v>74</v>
      </c>
      <c r="C19" s="44">
        <v>2551</v>
      </c>
      <c r="D19" s="44" t="s">
        <v>75</v>
      </c>
      <c r="E19" s="44">
        <v>126.21</v>
      </c>
      <c r="F19" s="37">
        <v>0.2135</v>
      </c>
      <c r="G19" s="33">
        <f t="shared" si="0"/>
        <v>1.5926289459730325</v>
      </c>
      <c r="K19" s="29"/>
      <c r="L19" s="21"/>
    </row>
    <row r="20" spans="1:12" x14ac:dyDescent="0.2">
      <c r="A20" s="44" t="s">
        <v>71</v>
      </c>
      <c r="B20" s="44" t="s">
        <v>76</v>
      </c>
      <c r="C20" s="44">
        <v>2414</v>
      </c>
      <c r="D20" s="44" t="s">
        <v>69</v>
      </c>
      <c r="E20" s="44">
        <v>140.93</v>
      </c>
      <c r="F20" s="37">
        <v>0.223</v>
      </c>
      <c r="G20" s="33">
        <f t="shared" si="0"/>
        <v>1.5083634775141042</v>
      </c>
      <c r="K20" s="22"/>
      <c r="L20" s="22"/>
    </row>
    <row r="21" spans="1:12" x14ac:dyDescent="0.2">
      <c r="A21" s="44" t="s">
        <v>71</v>
      </c>
      <c r="B21" s="44" t="s">
        <v>77</v>
      </c>
      <c r="C21" s="44">
        <v>2414</v>
      </c>
      <c r="D21" s="44" t="s">
        <v>78</v>
      </c>
      <c r="E21" s="44">
        <v>130.21</v>
      </c>
      <c r="F21" s="37">
        <v>0.20499999999999999</v>
      </c>
      <c r="G21" s="33">
        <f t="shared" si="0"/>
        <v>1.4610355316842787</v>
      </c>
      <c r="K21" s="22"/>
      <c r="L21" s="22"/>
    </row>
    <row r="22" spans="1:12" x14ac:dyDescent="0.2">
      <c r="A22" s="44"/>
      <c r="B22" s="44"/>
      <c r="C22" s="44"/>
      <c r="D22" s="44"/>
      <c r="E22" s="44"/>
      <c r="F22" s="44"/>
      <c r="G22" s="44"/>
    </row>
    <row r="23" spans="1:12" x14ac:dyDescent="0.2">
      <c r="A23" s="44" t="s">
        <v>79</v>
      </c>
      <c r="B23" s="44" t="s">
        <v>74</v>
      </c>
      <c r="C23" s="44">
        <v>573</v>
      </c>
      <c r="D23" s="44" t="s">
        <v>67</v>
      </c>
      <c r="E23" s="44">
        <v>128.15</v>
      </c>
      <c r="F23" s="37">
        <v>0.19850000000000001</v>
      </c>
      <c r="G23" s="33">
        <f t="shared" si="0"/>
        <v>1.4212376617874178</v>
      </c>
    </row>
    <row r="24" spans="1:12" x14ac:dyDescent="0.2">
      <c r="A24" s="44" t="s">
        <v>79</v>
      </c>
      <c r="B24" s="44" t="s">
        <v>72</v>
      </c>
      <c r="C24" s="44">
        <v>573</v>
      </c>
      <c r="D24" s="44" t="s">
        <v>65</v>
      </c>
      <c r="E24" s="44">
        <v>133.26</v>
      </c>
      <c r="F24" s="37">
        <v>0.1835</v>
      </c>
      <c r="G24" s="33">
        <f t="shared" si="0"/>
        <v>1.2247281783456891</v>
      </c>
    </row>
    <row r="25" spans="1:12" x14ac:dyDescent="0.2">
      <c r="A25" s="44" t="s">
        <v>79</v>
      </c>
      <c r="B25" s="44" t="s">
        <v>76</v>
      </c>
      <c r="C25" s="44">
        <v>568</v>
      </c>
      <c r="D25" s="44" t="s">
        <v>63</v>
      </c>
      <c r="E25" s="44">
        <v>133.01</v>
      </c>
      <c r="F25" s="37">
        <v>0.114</v>
      </c>
      <c r="G25" s="33">
        <f t="shared" si="0"/>
        <v>0.57168218272361426</v>
      </c>
    </row>
    <row r="26" spans="1:12" x14ac:dyDescent="0.2">
      <c r="A26" s="44" t="s">
        <v>79</v>
      </c>
      <c r="B26" s="44" t="s">
        <v>77</v>
      </c>
      <c r="C26" s="44">
        <v>568</v>
      </c>
      <c r="D26" s="44" t="s">
        <v>80</v>
      </c>
      <c r="E26" s="44">
        <v>133.22999999999999</v>
      </c>
      <c r="F26" s="37">
        <v>0.1145</v>
      </c>
      <c r="G26" s="33">
        <f t="shared" si="0"/>
        <v>0.57543087025412087</v>
      </c>
    </row>
  </sheetData>
  <mergeCells count="5">
    <mergeCell ref="B3:C3"/>
    <mergeCell ref="B4:C4"/>
    <mergeCell ref="B5:C5"/>
    <mergeCell ref="B6:C6"/>
    <mergeCell ref="G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Wendi Ruef</dc:creator>
  <cp:lastModifiedBy>Wendi Ruef</cp:lastModifiedBy>
  <cp:lastPrinted>2016-12-21T17:35:33Z</cp:lastPrinted>
  <dcterms:created xsi:type="dcterms:W3CDTF">2016-12-15T23:58:46Z</dcterms:created>
  <dcterms:modified xsi:type="dcterms:W3CDTF">2018-09-11T18:28:38Z</dcterms:modified>
</cp:coreProperties>
</file>