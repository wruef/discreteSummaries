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rsn/Desktop/"/>
    </mc:Choice>
  </mc:AlternateContent>
  <xr:revisionPtr revIDLastSave="0" documentId="13_ncr:1_{77B21A4E-49BE-7E4E-AFEF-D14361C47D26}" xr6:coauthVersionLast="36" xr6:coauthVersionMax="36" xr10:uidLastSave="{00000000-0000-0000-0000-000000000000}"/>
  <bookViews>
    <workbookView xWindow="860" yWindow="480" windowWidth="35000" windowHeight="19520" xr2:uid="{00000000-000D-0000-FFFF-FFFF00000000}"/>
  </bookViews>
  <sheets>
    <sheet name="Sheet1" sheetId="3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3" l="1"/>
  <c r="G44" i="3"/>
  <c r="G43" i="3"/>
  <c r="G42" i="3"/>
  <c r="G41" i="3"/>
  <c r="G40" i="3"/>
  <c r="G39" i="3"/>
  <c r="G37" i="3"/>
  <c r="G36" i="3"/>
  <c r="G35" i="3"/>
  <c r="G34" i="3"/>
  <c r="G33" i="3"/>
  <c r="G32" i="3"/>
  <c r="G31" i="3"/>
  <c r="G30" i="3"/>
  <c r="G28" i="3"/>
  <c r="G27" i="3"/>
  <c r="G26" i="3"/>
  <c r="G25" i="3"/>
  <c r="G24" i="3"/>
  <c r="G23" i="3"/>
  <c r="G21" i="3"/>
  <c r="G20" i="3"/>
  <c r="G18" i="3"/>
  <c r="G17" i="3"/>
  <c r="G16" i="3"/>
  <c r="G15" i="3"/>
  <c r="F6" i="4"/>
  <c r="F5" i="4"/>
  <c r="G26" i="4" l="1"/>
  <c r="G18" i="4"/>
  <c r="G21" i="4"/>
  <c r="G13" i="4"/>
  <c r="G23" i="4"/>
  <c r="G19" i="4"/>
  <c r="G12" i="4"/>
  <c r="G14" i="4"/>
  <c r="G24" i="4"/>
  <c r="G20" i="4"/>
  <c r="G15" i="4"/>
  <c r="G25" i="4"/>
  <c r="G16" i="4"/>
  <c r="G11" i="4"/>
  <c r="F5" i="3"/>
  <c r="F6" i="3"/>
  <c r="G11" i="3" l="1"/>
  <c r="G12" i="3"/>
  <c r="G13" i="3"/>
</calcChain>
</file>

<file path=xl/sharedStrings.xml><?xml version="1.0" encoding="utf-8"?>
<sst xmlns="http://schemas.openxmlformats.org/spreadsheetml/2006/main" count="161" uniqueCount="85">
  <si>
    <t>Analyst:</t>
  </si>
  <si>
    <t>Bottle #</t>
  </si>
  <si>
    <t>Bottle Volume</t>
  </si>
  <si>
    <t>Buret Titer</t>
  </si>
  <si>
    <t>Comments</t>
  </si>
  <si>
    <t>ml</t>
  </si>
  <si>
    <t>ml/liter</t>
  </si>
  <si>
    <t>Date/Time:</t>
  </si>
  <si>
    <t>Blank #1</t>
  </si>
  <si>
    <t>Blank #2</t>
  </si>
  <si>
    <t>Standard Normality:</t>
  </si>
  <si>
    <t>(meters)</t>
  </si>
  <si>
    <t>Depth</t>
  </si>
  <si>
    <t>Oxygen Concentration</t>
  </si>
  <si>
    <t>Bottle</t>
  </si>
  <si>
    <t>Niskin</t>
  </si>
  <si>
    <t>Cast</t>
  </si>
  <si>
    <t>CTD</t>
  </si>
  <si>
    <t>Cruise #:</t>
  </si>
  <si>
    <t>Event #s:</t>
  </si>
  <si>
    <t>Standard #1</t>
  </si>
  <si>
    <t>Standard #2</t>
  </si>
  <si>
    <t>Standard #3</t>
  </si>
  <si>
    <t>Standard #4</t>
  </si>
  <si>
    <t>Correction Factor:</t>
  </si>
  <si>
    <t>Standard (avg):</t>
  </si>
  <si>
    <t>Pipette Volume:</t>
  </si>
  <si>
    <t>Dive J907</t>
  </si>
  <si>
    <t>Aft</t>
  </si>
  <si>
    <t>OX001</t>
  </si>
  <si>
    <t>OX002</t>
  </si>
  <si>
    <t>OX003</t>
  </si>
  <si>
    <t>Dive J913</t>
  </si>
  <si>
    <t>Forward</t>
  </si>
  <si>
    <t>OX004</t>
  </si>
  <si>
    <t xml:space="preserve"> OX005</t>
  </si>
  <si>
    <t>OX007</t>
  </si>
  <si>
    <t>OX008</t>
  </si>
  <si>
    <t>Dive J918</t>
  </si>
  <si>
    <t>OX109</t>
  </si>
  <si>
    <t xml:space="preserve"> OX110</t>
  </si>
  <si>
    <t>CTD-03</t>
  </si>
  <si>
    <t>OX115</t>
  </si>
  <si>
    <t>OX116</t>
  </si>
  <si>
    <t>OX117</t>
  </si>
  <si>
    <t>OX118</t>
  </si>
  <si>
    <t>OX119</t>
  </si>
  <si>
    <t>OX120</t>
  </si>
  <si>
    <t>CTD-06</t>
  </si>
  <si>
    <t>OX111</t>
  </si>
  <si>
    <t>OX112</t>
  </si>
  <si>
    <t>OX113</t>
  </si>
  <si>
    <t>OX114</t>
  </si>
  <si>
    <t>OX103A</t>
  </si>
  <si>
    <t>OX105</t>
  </si>
  <si>
    <t>CTD-09</t>
  </si>
  <si>
    <t>OX108</t>
  </si>
  <si>
    <t>OX102</t>
  </si>
  <si>
    <t>OX101A</t>
  </si>
  <si>
    <t>OX100B</t>
  </si>
  <si>
    <t>OX099</t>
  </si>
  <si>
    <t>OX098A</t>
  </si>
  <si>
    <t>OX097</t>
  </si>
  <si>
    <t>CTD-12</t>
  </si>
  <si>
    <t>OX361</t>
  </si>
  <si>
    <t>OX362</t>
  </si>
  <si>
    <t>OX363</t>
  </si>
  <si>
    <t>OX364A</t>
  </si>
  <si>
    <t>OX365</t>
  </si>
  <si>
    <t>OX366A</t>
  </si>
  <si>
    <t>CTD-14</t>
  </si>
  <si>
    <t>OX367</t>
  </si>
  <si>
    <t>OX368</t>
  </si>
  <si>
    <t>OX369</t>
  </si>
  <si>
    <t>OX370</t>
  </si>
  <si>
    <t>Dive J-945</t>
  </si>
  <si>
    <t>OX371</t>
  </si>
  <si>
    <t>OX372</t>
  </si>
  <si>
    <t>OX373A</t>
  </si>
  <si>
    <t>OX374</t>
  </si>
  <si>
    <t>Bubble in bottle</t>
  </si>
  <si>
    <t>OX106A</t>
  </si>
  <si>
    <t>OX107A</t>
  </si>
  <si>
    <t>VISIONS 16 SKQ201610S</t>
  </si>
  <si>
    <t>7/12-7/19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</si>
</sst>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gray125">
        <fgColor theme="5" tint="0.39994506668294322"/>
        <bgColor theme="0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0" xfId="0" applyNumberFormat="1" applyFill="1" applyBorder="1"/>
    <xf numFmtId="2" fontId="0" fillId="0" borderId="0" xfId="0" applyNumberFormat="1" applyFill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164" fontId="0" fillId="0" borderId="0" xfId="0" applyNumberFormat="1" applyProtection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0" borderId="0" xfId="0" applyNumberFormat="1" applyFill="1" applyAlignment="1" applyProtection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5"/>
  <sheetViews>
    <sheetView tabSelected="1"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0" t="s">
        <v>83</v>
      </c>
      <c r="C3" s="22"/>
      <c r="E3" s="13" t="s">
        <v>26</v>
      </c>
      <c r="F3" s="34">
        <v>10</v>
      </c>
      <c r="H3" t="s">
        <v>20</v>
      </c>
      <c r="I3" s="36">
        <v>0.503</v>
      </c>
      <c r="J3" t="s">
        <v>8</v>
      </c>
      <c r="K3" s="36">
        <v>4.9000000000000002E-2</v>
      </c>
    </row>
    <row r="4" spans="1:14" x14ac:dyDescent="0.2">
      <c r="A4" s="15" t="s">
        <v>19</v>
      </c>
      <c r="B4" s="22"/>
      <c r="C4" s="22"/>
      <c r="E4" s="7" t="s">
        <v>10</v>
      </c>
      <c r="F4" s="34">
        <v>0.01</v>
      </c>
      <c r="G4" s="8"/>
      <c r="H4" t="s">
        <v>21</v>
      </c>
      <c r="I4" s="36">
        <v>0.50700000000000001</v>
      </c>
      <c r="J4" t="s">
        <v>9</v>
      </c>
      <c r="K4" s="36">
        <v>0.1</v>
      </c>
    </row>
    <row r="5" spans="1:14" x14ac:dyDescent="0.2">
      <c r="A5" s="15" t="s">
        <v>7</v>
      </c>
      <c r="B5" s="40" t="s">
        <v>84</v>
      </c>
      <c r="C5" s="22"/>
      <c r="E5" s="7" t="s">
        <v>25</v>
      </c>
      <c r="F5" s="35">
        <f>AVERAGE(I3:I6)</f>
        <v>0.50600000000000001</v>
      </c>
      <c r="G5" s="8"/>
      <c r="H5" t="s">
        <v>22</v>
      </c>
      <c r="I5" s="36">
        <v>0.50800000000000001</v>
      </c>
      <c r="K5" s="17"/>
    </row>
    <row r="6" spans="1:14" x14ac:dyDescent="0.2">
      <c r="A6" s="14" t="s">
        <v>0</v>
      </c>
      <c r="B6" s="22"/>
      <c r="C6" s="22"/>
      <c r="E6" s="26" t="s">
        <v>24</v>
      </c>
      <c r="F6" s="35">
        <f>K4-K3</f>
        <v>5.1000000000000004E-2</v>
      </c>
      <c r="G6" s="27"/>
      <c r="H6" t="s">
        <v>23</v>
      </c>
      <c r="I6" s="36"/>
    </row>
    <row r="7" spans="1:14" x14ac:dyDescent="0.2">
      <c r="A7" s="12"/>
      <c r="B7" s="12"/>
      <c r="C7" s="12"/>
      <c r="D7" s="12"/>
      <c r="E7" s="12"/>
      <c r="F7" s="14"/>
      <c r="G7" s="14"/>
      <c r="H7" s="24"/>
      <c r="I7" s="25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2" t="s">
        <v>13</v>
      </c>
      <c r="H9" s="43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23" t="s">
        <v>27</v>
      </c>
      <c r="B11" s="23" t="s">
        <v>28</v>
      </c>
      <c r="C11" s="23">
        <v>2603</v>
      </c>
      <c r="D11" s="23" t="s">
        <v>29</v>
      </c>
      <c r="E11" s="23">
        <v>130.19</v>
      </c>
      <c r="F11" s="23">
        <v>0.26550000000000001</v>
      </c>
      <c r="G11" s="31">
        <f>(((((F11-$F$6)*$F$3*$F$4*5598)/($F$5-$F$6))-1000*0.0017)/(E11-2))</f>
        <v>2.0454459340487898</v>
      </c>
      <c r="N11" s="16"/>
    </row>
    <row r="12" spans="1:14" x14ac:dyDescent="0.2">
      <c r="A12" s="23" t="s">
        <v>27</v>
      </c>
      <c r="B12" s="23" t="s">
        <v>28</v>
      </c>
      <c r="C12" s="23">
        <v>2603</v>
      </c>
      <c r="D12" s="23" t="s">
        <v>30</v>
      </c>
      <c r="E12" s="23">
        <v>132.4</v>
      </c>
      <c r="F12" s="23">
        <v>0.28149999999999997</v>
      </c>
      <c r="G12" s="31">
        <f t="shared" ref="G12:G45" si="0">(((((F12-$F$6)*$F$3*$F$4*5598)/($F$5-$F$6))-1000*0.0017)/(E12-2))</f>
        <v>2.1617407132744551</v>
      </c>
    </row>
    <row r="13" spans="1:14" x14ac:dyDescent="0.2">
      <c r="A13" s="23" t="s">
        <v>27</v>
      </c>
      <c r="B13" s="23" t="s">
        <v>28</v>
      </c>
      <c r="C13" s="23">
        <v>2603</v>
      </c>
      <c r="D13" s="23" t="s">
        <v>31</v>
      </c>
      <c r="E13" s="23">
        <v>132.79</v>
      </c>
      <c r="F13" s="23">
        <v>0.30649999999999999</v>
      </c>
      <c r="G13" s="31">
        <f t="shared" si="0"/>
        <v>2.3904673963546972</v>
      </c>
      <c r="I13" t="s">
        <v>80</v>
      </c>
    </row>
    <row r="14" spans="1:14" x14ac:dyDescent="0.2">
      <c r="A14" s="18"/>
      <c r="B14" s="18"/>
      <c r="C14" s="18"/>
      <c r="D14" s="18"/>
      <c r="E14" s="18"/>
      <c r="F14" s="30"/>
      <c r="G14" s="38"/>
    </row>
    <row r="15" spans="1:14" x14ac:dyDescent="0.2">
      <c r="A15" s="18" t="s">
        <v>32</v>
      </c>
      <c r="B15" s="23" t="s">
        <v>33</v>
      </c>
      <c r="C15" s="23">
        <v>2901</v>
      </c>
      <c r="D15" s="23" t="s">
        <v>34</v>
      </c>
      <c r="E15" s="23">
        <v>137.24</v>
      </c>
      <c r="F15" s="33">
        <v>0.13200000000000001</v>
      </c>
      <c r="G15" s="31">
        <f t="shared" si="0"/>
        <v>0.72431753398922882</v>
      </c>
      <c r="N15" s="16"/>
    </row>
    <row r="16" spans="1:14" x14ac:dyDescent="0.2">
      <c r="A16" s="18" t="s">
        <v>32</v>
      </c>
      <c r="B16" s="23" t="s">
        <v>33</v>
      </c>
      <c r="C16" s="23">
        <v>2901</v>
      </c>
      <c r="D16" s="23" t="s">
        <v>35</v>
      </c>
      <c r="E16" s="23">
        <v>134.51</v>
      </c>
      <c r="F16" s="33">
        <v>0.13950000000000001</v>
      </c>
      <c r="G16" s="31">
        <f t="shared" si="0"/>
        <v>0.80887612877651383</v>
      </c>
    </row>
    <row r="17" spans="1:12" x14ac:dyDescent="0.2">
      <c r="A17" s="18" t="s">
        <v>32</v>
      </c>
      <c r="B17" s="23" t="s">
        <v>28</v>
      </c>
      <c r="C17" s="23">
        <v>2901</v>
      </c>
      <c r="D17" s="23" t="s">
        <v>36</v>
      </c>
      <c r="E17" s="23">
        <v>131.37</v>
      </c>
      <c r="F17" s="33">
        <v>0.28000000000000003</v>
      </c>
      <c r="G17" s="31">
        <f t="shared" si="0"/>
        <v>2.1646865154633574</v>
      </c>
    </row>
    <row r="18" spans="1:12" x14ac:dyDescent="0.2">
      <c r="A18" s="18" t="s">
        <v>32</v>
      </c>
      <c r="B18" s="23" t="s">
        <v>28</v>
      </c>
      <c r="C18" s="23">
        <v>2901</v>
      </c>
      <c r="D18" s="23" t="s">
        <v>37</v>
      </c>
      <c r="E18" s="23">
        <v>128.19</v>
      </c>
      <c r="F18" s="33">
        <v>0.26450000000000001</v>
      </c>
      <c r="G18" s="31">
        <f t="shared" si="0"/>
        <v>2.0681146256865413</v>
      </c>
    </row>
    <row r="19" spans="1:12" x14ac:dyDescent="0.2">
      <c r="A19" s="18"/>
      <c r="B19" s="18"/>
      <c r="C19" s="18"/>
      <c r="D19" s="18"/>
      <c r="E19" s="37"/>
      <c r="F19" s="30"/>
      <c r="G19" s="38"/>
    </row>
    <row r="20" spans="1:12" x14ac:dyDescent="0.2">
      <c r="A20" s="18" t="s">
        <v>38</v>
      </c>
      <c r="B20" s="39" t="s">
        <v>33</v>
      </c>
      <c r="C20" s="23">
        <v>193</v>
      </c>
      <c r="D20" s="23" t="s">
        <v>39</v>
      </c>
      <c r="E20" s="23">
        <v>131.88999999999999</v>
      </c>
      <c r="F20" s="33">
        <v>0.32550000000000001</v>
      </c>
      <c r="G20" s="31">
        <f t="shared" si="0"/>
        <v>2.587000496616326</v>
      </c>
    </row>
    <row r="21" spans="1:12" x14ac:dyDescent="0.2">
      <c r="A21" s="18" t="s">
        <v>38</v>
      </c>
      <c r="B21" s="39" t="s">
        <v>28</v>
      </c>
      <c r="C21" s="23">
        <v>193</v>
      </c>
      <c r="D21" s="23" t="s">
        <v>40</v>
      </c>
      <c r="E21" s="23">
        <v>143.22</v>
      </c>
      <c r="F21" s="33">
        <v>0.36499999999999999</v>
      </c>
      <c r="G21" s="31">
        <f t="shared" si="0"/>
        <v>2.7235768055765228</v>
      </c>
    </row>
    <row r="22" spans="1:12" x14ac:dyDescent="0.2">
      <c r="A22" s="18"/>
      <c r="B22" s="18"/>
      <c r="C22" s="18"/>
      <c r="D22" s="18"/>
      <c r="E22" s="37"/>
      <c r="F22" s="30"/>
      <c r="G22" s="38"/>
    </row>
    <row r="23" spans="1:12" x14ac:dyDescent="0.2">
      <c r="A23" s="18" t="s">
        <v>41</v>
      </c>
      <c r="B23" s="23">
        <v>7</v>
      </c>
      <c r="C23" s="23">
        <v>160</v>
      </c>
      <c r="D23" s="23" t="s">
        <v>42</v>
      </c>
      <c r="E23" s="23">
        <v>134.4</v>
      </c>
      <c r="F23" s="23">
        <v>0.32200000000000001</v>
      </c>
      <c r="G23" s="31">
        <f t="shared" si="0"/>
        <v>2.5054330865509109</v>
      </c>
    </row>
    <row r="24" spans="1:12" x14ac:dyDescent="0.2">
      <c r="A24" s="18" t="s">
        <v>41</v>
      </c>
      <c r="B24" s="23">
        <v>9</v>
      </c>
      <c r="C24" s="23">
        <v>140</v>
      </c>
      <c r="D24" s="23" t="s">
        <v>43</v>
      </c>
      <c r="E24" s="23">
        <v>144.6</v>
      </c>
      <c r="F24" s="23">
        <v>0.3745</v>
      </c>
      <c r="G24" s="31">
        <f t="shared" si="0"/>
        <v>2.7791840697871555</v>
      </c>
    </row>
    <row r="25" spans="1:12" x14ac:dyDescent="0.2">
      <c r="A25" s="18" t="s">
        <v>41</v>
      </c>
      <c r="B25" s="23">
        <v>17</v>
      </c>
      <c r="C25" s="23">
        <v>60</v>
      </c>
      <c r="D25" s="23" t="s">
        <v>44</v>
      </c>
      <c r="E25" s="23">
        <v>136.44</v>
      </c>
      <c r="F25" s="23">
        <v>0.74099999999999999</v>
      </c>
      <c r="G25" s="31">
        <f t="shared" si="0"/>
        <v>6.3019002717009247</v>
      </c>
      <c r="K25" s="21"/>
      <c r="L25" s="21"/>
    </row>
    <row r="26" spans="1:12" x14ac:dyDescent="0.2">
      <c r="A26" s="18" t="s">
        <v>41</v>
      </c>
      <c r="B26" s="23">
        <v>19</v>
      </c>
      <c r="C26" s="23">
        <v>40</v>
      </c>
      <c r="D26" s="23" t="s">
        <v>45</v>
      </c>
      <c r="E26" s="23">
        <v>131.29</v>
      </c>
      <c r="F26" s="23">
        <v>0.76149999999999995</v>
      </c>
      <c r="G26" s="31">
        <f t="shared" si="0"/>
        <v>6.7480024036602257</v>
      </c>
      <c r="K26" s="21"/>
      <c r="L26" s="21"/>
    </row>
    <row r="27" spans="1:12" x14ac:dyDescent="0.2">
      <c r="A27" s="18" t="s">
        <v>41</v>
      </c>
      <c r="B27" s="23">
        <v>23</v>
      </c>
      <c r="C27" s="23">
        <v>10</v>
      </c>
      <c r="D27" s="23" t="s">
        <v>46</v>
      </c>
      <c r="E27" s="23">
        <v>129.75</v>
      </c>
      <c r="F27" s="23">
        <v>0.66549999999999998</v>
      </c>
      <c r="G27" s="31">
        <f t="shared" si="0"/>
        <v>5.9047951656953606</v>
      </c>
      <c r="K27" s="20"/>
      <c r="L27" s="20"/>
    </row>
    <row r="28" spans="1:12" x14ac:dyDescent="0.2">
      <c r="A28" s="18" t="s">
        <v>41</v>
      </c>
      <c r="B28" s="23">
        <v>23</v>
      </c>
      <c r="C28" s="23">
        <v>10</v>
      </c>
      <c r="D28" s="23" t="s">
        <v>47</v>
      </c>
      <c r="E28" s="23">
        <v>130.16999999999999</v>
      </c>
      <c r="F28" s="23">
        <v>0.66749999999999998</v>
      </c>
      <c r="G28" s="31">
        <f t="shared" si="0"/>
        <v>5.9046441582136344</v>
      </c>
      <c r="K28" s="19"/>
      <c r="L28" s="20"/>
    </row>
    <row r="29" spans="1:12" x14ac:dyDescent="0.2">
      <c r="A29" s="18"/>
      <c r="B29" s="18"/>
      <c r="C29" s="18"/>
      <c r="D29" s="18"/>
      <c r="E29" s="37"/>
      <c r="F29" s="30"/>
      <c r="G29" s="38"/>
      <c r="K29" s="28"/>
      <c r="L29" s="20"/>
    </row>
    <row r="30" spans="1:12" x14ac:dyDescent="0.2">
      <c r="A30" s="18" t="s">
        <v>48</v>
      </c>
      <c r="B30" s="23">
        <v>7</v>
      </c>
      <c r="C30" s="23">
        <v>160</v>
      </c>
      <c r="D30" s="23" t="s">
        <v>49</v>
      </c>
      <c r="E30" s="23">
        <v>133.16999999999999</v>
      </c>
      <c r="F30" s="23">
        <v>0.34100000000000003</v>
      </c>
      <c r="G30" s="31">
        <f t="shared" si="0"/>
        <v>2.7071403857254288</v>
      </c>
      <c r="K30" s="29"/>
      <c r="L30" s="20"/>
    </row>
    <row r="31" spans="1:12" x14ac:dyDescent="0.2">
      <c r="A31" s="18" t="s">
        <v>48</v>
      </c>
      <c r="B31" s="23">
        <v>9</v>
      </c>
      <c r="C31" s="23">
        <v>140</v>
      </c>
      <c r="D31" s="23" t="s">
        <v>50</v>
      </c>
      <c r="E31" s="23">
        <v>132.51</v>
      </c>
      <c r="F31" s="23">
        <v>0.36649999999999999</v>
      </c>
      <c r="G31" s="31">
        <f t="shared" si="0"/>
        <v>2.9612214465482416</v>
      </c>
      <c r="K31" s="21"/>
      <c r="L31" s="21"/>
    </row>
    <row r="32" spans="1:12" x14ac:dyDescent="0.2">
      <c r="A32" s="18" t="s">
        <v>48</v>
      </c>
      <c r="B32" s="23">
        <v>17</v>
      </c>
      <c r="C32" s="23">
        <v>60</v>
      </c>
      <c r="D32" s="23" t="s">
        <v>51</v>
      </c>
      <c r="E32" s="23">
        <v>127.46</v>
      </c>
      <c r="F32" s="23">
        <v>0.64</v>
      </c>
      <c r="G32" s="31">
        <f t="shared" si="0"/>
        <v>5.7625073794370776</v>
      </c>
      <c r="K32" s="21"/>
      <c r="L32" s="21"/>
    </row>
    <row r="33" spans="1:7" x14ac:dyDescent="0.2">
      <c r="A33" s="18" t="s">
        <v>48</v>
      </c>
      <c r="B33" s="23">
        <v>19</v>
      </c>
      <c r="C33" s="23">
        <v>40</v>
      </c>
      <c r="D33" s="23" t="s">
        <v>52</v>
      </c>
      <c r="E33" s="23">
        <v>132.12</v>
      </c>
      <c r="F33" s="23">
        <v>0.76700000000000002</v>
      </c>
      <c r="G33" s="31">
        <f t="shared" si="0"/>
        <v>6.7569631413775273</v>
      </c>
    </row>
    <row r="34" spans="1:7" x14ac:dyDescent="0.2">
      <c r="A34" s="18" t="s">
        <v>48</v>
      </c>
      <c r="B34" s="23">
        <v>19</v>
      </c>
      <c r="C34" s="23">
        <v>40</v>
      </c>
      <c r="D34" s="23" t="s">
        <v>53</v>
      </c>
      <c r="E34" s="23">
        <v>140.19</v>
      </c>
      <c r="F34" s="23">
        <v>0.8085</v>
      </c>
      <c r="G34" s="31">
        <f t="shared" si="0"/>
        <v>6.7318527047885173</v>
      </c>
    </row>
    <row r="35" spans="1:7" x14ac:dyDescent="0.2">
      <c r="A35" s="18" t="s">
        <v>48</v>
      </c>
      <c r="B35" s="23">
        <v>21</v>
      </c>
      <c r="C35" s="23">
        <v>20</v>
      </c>
      <c r="D35" s="23" t="s">
        <v>54</v>
      </c>
      <c r="E35" s="23">
        <v>130.43</v>
      </c>
      <c r="F35" s="23">
        <v>0.71550000000000002</v>
      </c>
      <c r="G35" s="31">
        <f t="shared" si="0"/>
        <v>6.3525193952664161</v>
      </c>
    </row>
    <row r="36" spans="1:7" x14ac:dyDescent="0.2">
      <c r="A36" s="18" t="s">
        <v>48</v>
      </c>
      <c r="B36" s="23">
        <v>23</v>
      </c>
      <c r="C36" s="23">
        <v>10</v>
      </c>
      <c r="D36" s="23" t="s">
        <v>81</v>
      </c>
      <c r="E36" s="23">
        <v>139.84</v>
      </c>
      <c r="F36" s="23">
        <v>0.72299999999999998</v>
      </c>
      <c r="G36" s="31">
        <f t="shared" si="0"/>
        <v>5.9857917764185888</v>
      </c>
    </row>
    <row r="37" spans="1:7" x14ac:dyDescent="0.2">
      <c r="A37" s="18" t="s">
        <v>48</v>
      </c>
      <c r="B37" s="23">
        <v>23</v>
      </c>
      <c r="C37" s="23">
        <v>10</v>
      </c>
      <c r="D37" s="23" t="s">
        <v>82</v>
      </c>
      <c r="E37" s="23">
        <v>140.69</v>
      </c>
      <c r="F37" s="23">
        <v>0.72950000000000004</v>
      </c>
      <c r="G37" s="31">
        <f t="shared" si="0"/>
        <v>6.0067681975534022</v>
      </c>
    </row>
    <row r="38" spans="1:7" x14ac:dyDescent="0.2">
      <c r="A38" s="23"/>
      <c r="B38" s="23"/>
      <c r="C38" s="23"/>
      <c r="D38" s="23"/>
      <c r="E38" s="23"/>
      <c r="F38" s="23"/>
      <c r="G38" s="23"/>
    </row>
    <row r="39" spans="1:7" x14ac:dyDescent="0.2">
      <c r="A39" s="18" t="s">
        <v>55</v>
      </c>
      <c r="B39" s="23">
        <v>1</v>
      </c>
      <c r="C39" s="23">
        <v>550</v>
      </c>
      <c r="D39" s="23" t="s">
        <v>56</v>
      </c>
      <c r="E39" s="23">
        <v>126.19</v>
      </c>
      <c r="F39" s="23">
        <v>6.9500000000000006E-2</v>
      </c>
      <c r="G39" s="31">
        <f t="shared" si="0"/>
        <v>0.16958771963200661</v>
      </c>
    </row>
    <row r="40" spans="1:7" x14ac:dyDescent="0.2">
      <c r="A40" s="18" t="s">
        <v>55</v>
      </c>
      <c r="B40" s="23">
        <v>3</v>
      </c>
      <c r="C40" s="23">
        <v>400</v>
      </c>
      <c r="D40" s="23" t="s">
        <v>57</v>
      </c>
      <c r="E40" s="23">
        <v>130.6</v>
      </c>
      <c r="F40" s="23">
        <v>0.121</v>
      </c>
      <c r="G40" s="31">
        <f t="shared" si="0"/>
        <v>0.65647804761335082</v>
      </c>
    </row>
    <row r="41" spans="1:7" x14ac:dyDescent="0.2">
      <c r="A41" s="18" t="s">
        <v>55</v>
      </c>
      <c r="B41" s="23">
        <v>5</v>
      </c>
      <c r="C41" s="23">
        <v>200</v>
      </c>
      <c r="D41" s="23" t="s">
        <v>58</v>
      </c>
      <c r="E41" s="23">
        <v>133.28</v>
      </c>
      <c r="F41" s="23">
        <v>0.27750000000000002</v>
      </c>
      <c r="G41" s="31">
        <f t="shared" si="0"/>
        <v>2.1097628757592202</v>
      </c>
    </row>
    <row r="42" spans="1:7" x14ac:dyDescent="0.2">
      <c r="A42" s="18" t="s">
        <v>55</v>
      </c>
      <c r="B42" s="23">
        <v>19</v>
      </c>
      <c r="C42" s="23">
        <v>40</v>
      </c>
      <c r="D42" s="23" t="s">
        <v>59</v>
      </c>
      <c r="E42" s="23">
        <v>145.79</v>
      </c>
      <c r="F42" s="23">
        <v>0.81799999999999995</v>
      </c>
      <c r="G42" s="31">
        <f t="shared" si="0"/>
        <v>6.5509622167247858</v>
      </c>
    </row>
    <row r="43" spans="1:7" x14ac:dyDescent="0.2">
      <c r="A43" s="18" t="s">
        <v>55</v>
      </c>
      <c r="B43" s="23">
        <v>19</v>
      </c>
      <c r="C43" s="23">
        <v>40</v>
      </c>
      <c r="D43" s="23" t="s">
        <v>60</v>
      </c>
      <c r="E43" s="23">
        <v>131.11000000000001</v>
      </c>
      <c r="F43" s="23">
        <v>0.73650000000000004</v>
      </c>
      <c r="G43" s="31">
        <f t="shared" si="0"/>
        <v>6.5191773604754779</v>
      </c>
    </row>
    <row r="44" spans="1:7" x14ac:dyDescent="0.2">
      <c r="A44" s="18" t="s">
        <v>55</v>
      </c>
      <c r="B44" s="23">
        <v>23</v>
      </c>
      <c r="C44" s="23">
        <v>10</v>
      </c>
      <c r="D44" s="23" t="s">
        <v>61</v>
      </c>
      <c r="E44" s="23">
        <v>135.43</v>
      </c>
      <c r="F44" s="23">
        <v>0.72650000000000003</v>
      </c>
      <c r="G44" s="31">
        <f t="shared" si="0"/>
        <v>6.2159011639638182</v>
      </c>
    </row>
    <row r="45" spans="1:7" x14ac:dyDescent="0.2">
      <c r="A45" s="18" t="s">
        <v>55</v>
      </c>
      <c r="B45" s="23">
        <v>23</v>
      </c>
      <c r="C45" s="23">
        <v>10</v>
      </c>
      <c r="D45" s="23" t="s">
        <v>62</v>
      </c>
      <c r="E45" s="23">
        <v>132.59</v>
      </c>
      <c r="F45" s="23">
        <v>0.70950000000000002</v>
      </c>
      <c r="G45" s="31">
        <f t="shared" si="0"/>
        <v>6.1909188139374214</v>
      </c>
    </row>
  </sheetData>
  <mergeCells count="1">
    <mergeCell ref="G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7294-45C5-FF47-8127-661C2FE0F956}">
  <dimension ref="A3:N33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4" t="s">
        <v>83</v>
      </c>
      <c r="C3" s="44"/>
      <c r="E3" s="13" t="s">
        <v>26</v>
      </c>
      <c r="F3" s="34">
        <v>10</v>
      </c>
      <c r="H3" t="s">
        <v>20</v>
      </c>
      <c r="I3" s="36">
        <v>0.48799999999999999</v>
      </c>
      <c r="J3" t="s">
        <v>8</v>
      </c>
      <c r="K3" s="36">
        <v>5.0999999999999997E-2</v>
      </c>
    </row>
    <row r="4" spans="1:14" x14ac:dyDescent="0.2">
      <c r="A4" s="15" t="s">
        <v>19</v>
      </c>
      <c r="B4" s="44"/>
      <c r="C4" s="44"/>
      <c r="E4" s="7" t="s">
        <v>10</v>
      </c>
      <c r="F4" s="34">
        <v>0.01</v>
      </c>
      <c r="G4" s="8"/>
      <c r="H4" t="s">
        <v>21</v>
      </c>
      <c r="I4" s="36">
        <v>0.50600000000000001</v>
      </c>
      <c r="J4" t="s">
        <v>9</v>
      </c>
      <c r="K4" s="36">
        <v>0.10249999999999999</v>
      </c>
    </row>
    <row r="5" spans="1:14" x14ac:dyDescent="0.2">
      <c r="A5" s="15" t="s">
        <v>7</v>
      </c>
      <c r="B5" s="45">
        <v>42579</v>
      </c>
      <c r="C5" s="44"/>
      <c r="E5" s="7" t="s">
        <v>25</v>
      </c>
      <c r="F5" s="35">
        <f>AVERAGE(I3:I6)</f>
        <v>0.502</v>
      </c>
      <c r="G5" s="8"/>
      <c r="H5" t="s">
        <v>22</v>
      </c>
      <c r="I5" s="36">
        <v>0.50649999999999995</v>
      </c>
      <c r="K5" s="17"/>
    </row>
    <row r="6" spans="1:14" x14ac:dyDescent="0.2">
      <c r="A6" s="14" t="s">
        <v>0</v>
      </c>
      <c r="B6" s="44"/>
      <c r="C6" s="44"/>
      <c r="E6" s="26" t="s">
        <v>24</v>
      </c>
      <c r="F6" s="35">
        <f>K4-K3</f>
        <v>5.1499999999999997E-2</v>
      </c>
      <c r="G6" s="27"/>
      <c r="H6" t="s">
        <v>23</v>
      </c>
      <c r="I6" s="36">
        <v>0.50749999999999995</v>
      </c>
    </row>
    <row r="7" spans="1:14" x14ac:dyDescent="0.2">
      <c r="A7" s="12"/>
      <c r="B7" s="12"/>
      <c r="C7" s="12"/>
      <c r="D7" s="12"/>
      <c r="E7" s="12"/>
      <c r="F7" s="14"/>
      <c r="G7" s="14"/>
      <c r="H7" s="24"/>
      <c r="I7" s="25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2" t="s">
        <v>13</v>
      </c>
      <c r="H9" s="43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41" t="s">
        <v>63</v>
      </c>
      <c r="B11" s="41">
        <v>19</v>
      </c>
      <c r="C11" s="41">
        <v>40</v>
      </c>
      <c r="D11" s="41" t="s">
        <v>64</v>
      </c>
      <c r="E11" s="41">
        <v>127.31</v>
      </c>
      <c r="F11" s="33">
        <v>0.78800000000000003</v>
      </c>
      <c r="G11" s="31">
        <f>(((((F11-$F$6)*$F$3*$F$4*5598)/($F$5-$F$6))-1000*0.0017)/(E11-2))</f>
        <v>7.2898341967636133</v>
      </c>
      <c r="N11" s="16"/>
    </row>
    <row r="12" spans="1:14" x14ac:dyDescent="0.2">
      <c r="A12" s="41" t="s">
        <v>63</v>
      </c>
      <c r="B12" s="41">
        <v>19</v>
      </c>
      <c r="C12" s="41">
        <v>40</v>
      </c>
      <c r="D12" s="41" t="s">
        <v>65</v>
      </c>
      <c r="E12" s="41">
        <v>123.34</v>
      </c>
      <c r="F12" s="33">
        <v>0.76749999999999996</v>
      </c>
      <c r="G12" s="31">
        <f t="shared" ref="G12:G26" si="0">(((((F12-$F$6)*$F$3*$F$4*5598)/($F$5-$F$6))-1000*0.0017)/(E12-2))</f>
        <v>7.3184063565435684</v>
      </c>
    </row>
    <row r="13" spans="1:14" x14ac:dyDescent="0.2">
      <c r="A13" s="41" t="s">
        <v>63</v>
      </c>
      <c r="B13" s="41">
        <v>21</v>
      </c>
      <c r="C13" s="41">
        <v>20</v>
      </c>
      <c r="D13" s="41" t="s">
        <v>66</v>
      </c>
      <c r="E13" s="41">
        <v>131.83000000000001</v>
      </c>
      <c r="F13" s="33">
        <v>0.71699999999999997</v>
      </c>
      <c r="G13" s="31">
        <f t="shared" si="0"/>
        <v>6.3564904263519528</v>
      </c>
    </row>
    <row r="14" spans="1:14" x14ac:dyDescent="0.2">
      <c r="A14" s="41" t="s">
        <v>63</v>
      </c>
      <c r="B14" s="41">
        <v>21</v>
      </c>
      <c r="C14" s="41">
        <v>20</v>
      </c>
      <c r="D14" s="41" t="s">
        <v>67</v>
      </c>
      <c r="E14" s="41">
        <v>144.4</v>
      </c>
      <c r="F14" s="33">
        <v>0.80249999999999999</v>
      </c>
      <c r="G14" s="31">
        <f t="shared" si="0"/>
        <v>6.5414824664230755</v>
      </c>
    </row>
    <row r="15" spans="1:14" x14ac:dyDescent="0.2">
      <c r="A15" s="41" t="s">
        <v>63</v>
      </c>
      <c r="B15" s="41">
        <v>23</v>
      </c>
      <c r="C15" s="41">
        <v>10</v>
      </c>
      <c r="D15" s="41" t="s">
        <v>68</v>
      </c>
      <c r="E15" s="41">
        <v>127.95</v>
      </c>
      <c r="F15" s="33">
        <v>0.73950000000000005</v>
      </c>
      <c r="G15" s="31">
        <f t="shared" si="0"/>
        <v>6.774292072810459</v>
      </c>
      <c r="N15" s="16"/>
    </row>
    <row r="16" spans="1:14" x14ac:dyDescent="0.2">
      <c r="A16" s="41" t="s">
        <v>63</v>
      </c>
      <c r="B16" s="41">
        <v>23</v>
      </c>
      <c r="C16" s="41">
        <v>10</v>
      </c>
      <c r="D16" s="41" t="s">
        <v>69</v>
      </c>
      <c r="E16" s="41">
        <v>138.37</v>
      </c>
      <c r="F16" s="33">
        <v>0.74150000000000005</v>
      </c>
      <c r="G16" s="31">
        <f t="shared" si="0"/>
        <v>6.2748942230272693</v>
      </c>
    </row>
    <row r="17" spans="1:12" x14ac:dyDescent="0.2">
      <c r="A17" s="41"/>
      <c r="B17" s="41"/>
      <c r="C17" s="41"/>
      <c r="D17" s="18"/>
      <c r="E17" s="18"/>
      <c r="F17" s="30"/>
      <c r="G17" s="32"/>
      <c r="I17" s="17"/>
      <c r="J17" s="17"/>
      <c r="K17" s="17"/>
    </row>
    <row r="18" spans="1:12" x14ac:dyDescent="0.2">
      <c r="A18" s="18" t="s">
        <v>70</v>
      </c>
      <c r="B18" s="41">
        <v>9</v>
      </c>
      <c r="C18" s="41">
        <v>250</v>
      </c>
      <c r="D18" s="41" t="s">
        <v>71</v>
      </c>
      <c r="E18" s="41">
        <v>131.1</v>
      </c>
      <c r="F18" s="33">
        <v>0.19700000000000001</v>
      </c>
      <c r="G18" s="31">
        <f t="shared" si="0"/>
        <v>1.3873052662890275</v>
      </c>
      <c r="I18" s="17"/>
      <c r="J18" s="17"/>
      <c r="K18" s="17"/>
    </row>
    <row r="19" spans="1:12" x14ac:dyDescent="0.2">
      <c r="A19" s="18" t="s">
        <v>70</v>
      </c>
      <c r="B19" s="41">
        <v>9</v>
      </c>
      <c r="C19" s="41">
        <v>250</v>
      </c>
      <c r="D19" s="41" t="s">
        <v>72</v>
      </c>
      <c r="E19" s="41">
        <v>130.94</v>
      </c>
      <c r="F19" s="33">
        <v>0.21049999999999999</v>
      </c>
      <c r="G19" s="31">
        <f t="shared" si="0"/>
        <v>1.5191288241681038</v>
      </c>
      <c r="I19" s="17"/>
      <c r="J19" s="17"/>
      <c r="K19" s="17"/>
    </row>
    <row r="20" spans="1:12" x14ac:dyDescent="0.2">
      <c r="A20" s="18" t="s">
        <v>70</v>
      </c>
      <c r="B20" s="41">
        <v>13</v>
      </c>
      <c r="C20" s="41">
        <v>110</v>
      </c>
      <c r="D20" s="41" t="s">
        <v>73</v>
      </c>
      <c r="E20" s="41">
        <v>142.44</v>
      </c>
      <c r="F20" s="33">
        <v>0.28899999999999998</v>
      </c>
      <c r="G20" s="31">
        <f t="shared" si="0"/>
        <v>2.0893056577219973</v>
      </c>
      <c r="I20" s="17"/>
      <c r="J20" s="17"/>
      <c r="K20" s="17"/>
    </row>
    <row r="21" spans="1:12" x14ac:dyDescent="0.2">
      <c r="A21" s="18" t="s">
        <v>70</v>
      </c>
      <c r="B21" s="41">
        <v>13</v>
      </c>
      <c r="C21" s="41">
        <v>110</v>
      </c>
      <c r="D21" s="41" t="s">
        <v>74</v>
      </c>
      <c r="E21" s="41">
        <v>132.75</v>
      </c>
      <c r="F21" s="33">
        <v>0.26900000000000002</v>
      </c>
      <c r="G21" s="31">
        <f t="shared" si="0"/>
        <v>2.0540703658352841</v>
      </c>
      <c r="I21" s="17"/>
      <c r="J21" s="17"/>
      <c r="K21" s="17"/>
    </row>
    <row r="22" spans="1:12" x14ac:dyDescent="0.2">
      <c r="A22" s="18"/>
      <c r="B22" s="18"/>
      <c r="C22" s="18"/>
      <c r="D22" s="18"/>
      <c r="E22" s="37"/>
      <c r="F22" s="30"/>
      <c r="G22" s="38"/>
      <c r="I22" s="17"/>
      <c r="J22" s="17"/>
      <c r="K22" s="17"/>
    </row>
    <row r="23" spans="1:12" x14ac:dyDescent="0.2">
      <c r="A23" s="18" t="s">
        <v>75</v>
      </c>
      <c r="B23" s="41" t="s">
        <v>28</v>
      </c>
      <c r="C23" s="41">
        <v>2801</v>
      </c>
      <c r="D23" s="41" t="s">
        <v>76</v>
      </c>
      <c r="E23" s="41">
        <v>134.62</v>
      </c>
      <c r="F23" s="33">
        <v>0.26600000000000001</v>
      </c>
      <c r="G23" s="31">
        <f t="shared" si="0"/>
        <v>1.996997755974486</v>
      </c>
    </row>
    <row r="24" spans="1:12" x14ac:dyDescent="0.2">
      <c r="A24" s="18" t="s">
        <v>75</v>
      </c>
      <c r="B24" s="41" t="s">
        <v>28</v>
      </c>
      <c r="C24" s="41">
        <v>2801</v>
      </c>
      <c r="D24" s="41" t="s">
        <v>77</v>
      </c>
      <c r="E24" s="41">
        <v>131.6</v>
      </c>
      <c r="F24" s="33">
        <v>0.26450000000000001</v>
      </c>
      <c r="G24" s="31">
        <f t="shared" si="0"/>
        <v>2.029150566585824</v>
      </c>
    </row>
    <row r="25" spans="1:12" x14ac:dyDescent="0.2">
      <c r="A25" s="18" t="s">
        <v>75</v>
      </c>
      <c r="B25" s="41" t="s">
        <v>33</v>
      </c>
      <c r="C25" s="41">
        <v>2600</v>
      </c>
      <c r="D25" s="41" t="s">
        <v>78</v>
      </c>
      <c r="E25" s="41">
        <v>140.86000000000001</v>
      </c>
      <c r="F25" s="33">
        <v>0.25750000000000001</v>
      </c>
      <c r="G25" s="31">
        <f t="shared" si="0"/>
        <v>1.8311938516951813</v>
      </c>
      <c r="K25" s="21"/>
      <c r="L25" s="21"/>
    </row>
    <row r="26" spans="1:12" x14ac:dyDescent="0.2">
      <c r="A26" s="18" t="s">
        <v>75</v>
      </c>
      <c r="B26" s="41" t="s">
        <v>33</v>
      </c>
      <c r="C26" s="41">
        <v>2600</v>
      </c>
      <c r="D26" s="41" t="s">
        <v>79</v>
      </c>
      <c r="E26" s="41">
        <v>132.44999999999999</v>
      </c>
      <c r="F26" s="33">
        <v>0.24199999999999999</v>
      </c>
      <c r="G26" s="31">
        <f t="shared" si="0"/>
        <v>1.8016019847628952</v>
      </c>
      <c r="K26" s="21"/>
      <c r="L26" s="21"/>
    </row>
    <row r="27" spans="1:12" x14ac:dyDescent="0.2">
      <c r="A27" s="18"/>
      <c r="B27" s="18"/>
      <c r="C27" s="18"/>
      <c r="D27" s="18"/>
      <c r="E27" s="37"/>
      <c r="F27" s="30"/>
      <c r="G27" s="38"/>
      <c r="K27" s="20"/>
      <c r="L27" s="20"/>
    </row>
    <row r="28" spans="1:12" x14ac:dyDescent="0.2">
      <c r="A28" s="18"/>
      <c r="B28" s="18"/>
      <c r="C28" s="18"/>
      <c r="D28" s="18"/>
      <c r="E28" s="37"/>
      <c r="F28" s="30"/>
      <c r="G28" s="38"/>
      <c r="K28" s="19"/>
      <c r="L28" s="20"/>
    </row>
    <row r="29" spans="1:12" x14ac:dyDescent="0.2">
      <c r="A29" s="18"/>
      <c r="B29" s="18"/>
      <c r="C29" s="18"/>
      <c r="D29" s="18"/>
      <c r="E29" s="37"/>
      <c r="F29" s="30"/>
      <c r="G29" s="38"/>
      <c r="K29" s="28"/>
      <c r="L29" s="20"/>
    </row>
    <row r="30" spans="1:12" x14ac:dyDescent="0.2">
      <c r="A30" s="18"/>
      <c r="B30" s="18"/>
      <c r="C30" s="18"/>
      <c r="D30" s="18"/>
      <c r="E30" s="37"/>
      <c r="F30" s="30"/>
      <c r="G30" s="38"/>
      <c r="K30" s="29"/>
      <c r="L30" s="20"/>
    </row>
    <row r="31" spans="1:12" x14ac:dyDescent="0.2">
      <c r="A31" s="18"/>
      <c r="B31" s="18"/>
      <c r="C31" s="18"/>
      <c r="D31" s="18"/>
      <c r="E31" s="18"/>
      <c r="F31" s="18"/>
      <c r="G31" s="18"/>
      <c r="K31" s="21"/>
      <c r="L31" s="21"/>
    </row>
    <row r="32" spans="1:12" x14ac:dyDescent="0.2">
      <c r="A32" s="18"/>
      <c r="B32" s="18"/>
      <c r="C32" s="18"/>
      <c r="D32" s="18"/>
      <c r="E32" s="18"/>
      <c r="F32" s="30"/>
      <c r="G32" s="38"/>
      <c r="K32" s="21"/>
      <c r="L32" s="21"/>
    </row>
    <row r="33" spans="1:7" x14ac:dyDescent="0.2">
      <c r="A33" s="17"/>
      <c r="B33" s="17"/>
      <c r="C33" s="17"/>
      <c r="D33" s="17"/>
      <c r="E33" s="17"/>
      <c r="F33" s="17"/>
      <c r="G33" s="17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2016-12-21T17:35:33Z</cp:lastPrinted>
  <dcterms:created xsi:type="dcterms:W3CDTF">2016-12-15T23:58:46Z</dcterms:created>
  <dcterms:modified xsi:type="dcterms:W3CDTF">2018-09-11T18:33:36Z</dcterms:modified>
</cp:coreProperties>
</file>