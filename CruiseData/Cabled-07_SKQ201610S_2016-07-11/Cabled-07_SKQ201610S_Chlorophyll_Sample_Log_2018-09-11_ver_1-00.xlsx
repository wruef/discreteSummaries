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date1904="1" autoCompressPictures="0"/>
  <bookViews>
    <workbookView xWindow="7040" yWindow="1780" windowWidth="29420" windowHeight="20540"/>
  </bookViews>
  <sheets>
    <sheet name="Sheet1" sheetId="1" r:id="rId1"/>
  </sheets>
  <definedNames>
    <definedName name="_xlnm.Print_Area" localSheetId="0">Sheet1!$A$1:$O$88</definedName>
    <definedName name="_xlnm.Print_Titles" localSheetId="0">Sheet1!$2:$16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88" i="1" l="1"/>
  <c r="M87" i="1"/>
  <c r="M86" i="1"/>
  <c r="M85" i="1"/>
  <c r="M83" i="1"/>
  <c r="M82" i="1"/>
  <c r="M81" i="1"/>
  <c r="M80" i="1"/>
  <c r="M78" i="1"/>
  <c r="M77" i="1"/>
  <c r="M76" i="1"/>
  <c r="M75" i="1"/>
  <c r="M74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8" i="1"/>
  <c r="M57" i="1"/>
  <c r="M56" i="1"/>
  <c r="M55" i="1"/>
  <c r="M54" i="1"/>
  <c r="M53" i="1"/>
  <c r="M52" i="1"/>
  <c r="M51" i="1"/>
  <c r="M50" i="1"/>
  <c r="M49" i="1"/>
  <c r="M48" i="1"/>
  <c r="M47" i="1"/>
  <c r="M45" i="1"/>
  <c r="M44" i="1"/>
  <c r="M43" i="1"/>
  <c r="M42" i="1"/>
  <c r="M41" i="1"/>
  <c r="M40" i="1"/>
  <c r="M39" i="1"/>
  <c r="M38" i="1"/>
  <c r="M27" i="1"/>
  <c r="M37" i="1"/>
  <c r="M36" i="1"/>
  <c r="M35" i="1"/>
  <c r="M34" i="1"/>
  <c r="M33" i="1"/>
  <c r="M32" i="1"/>
  <c r="M30" i="1"/>
  <c r="M29" i="1"/>
  <c r="M28" i="1"/>
  <c r="M26" i="1"/>
  <c r="M25" i="1"/>
  <c r="M24" i="1"/>
  <c r="M23" i="1"/>
  <c r="M22" i="1"/>
  <c r="M21" i="1"/>
  <c r="M20" i="1"/>
  <c r="M19" i="1"/>
  <c r="M17" i="1"/>
  <c r="M18" i="1"/>
  <c r="P24" i="1"/>
  <c r="B12" i="1"/>
  <c r="L87" i="1"/>
  <c r="K82" i="1"/>
  <c r="K75" i="1"/>
  <c r="L72" i="1"/>
  <c r="K67" i="1"/>
  <c r="L64" i="1"/>
  <c r="L56" i="1"/>
  <c r="L48" i="1"/>
  <c r="K43" i="1"/>
  <c r="L82" i="1"/>
  <c r="K78" i="1"/>
  <c r="L67" i="1"/>
  <c r="K62" i="1"/>
  <c r="L51" i="1"/>
  <c r="K88" i="1"/>
  <c r="L78" i="1"/>
  <c r="L62" i="1"/>
  <c r="K57" i="1"/>
  <c r="L54" i="1"/>
  <c r="K49" i="1"/>
  <c r="L38" i="1"/>
  <c r="L80" i="1"/>
  <c r="K76" i="1"/>
  <c r="K68" i="1"/>
  <c r="L65" i="1"/>
  <c r="K60" i="1"/>
  <c r="L49" i="1"/>
  <c r="K44" i="1"/>
  <c r="K86" i="1"/>
  <c r="L83" i="1"/>
  <c r="L76" i="1"/>
  <c r="K71" i="1"/>
  <c r="L60" i="1"/>
  <c r="K55" i="1"/>
  <c r="L44" i="1"/>
  <c r="K39" i="1"/>
  <c r="L86" i="1"/>
  <c r="K81" i="1"/>
  <c r="K74" i="1"/>
  <c r="L71" i="1"/>
  <c r="K66" i="1"/>
  <c r="L63" i="1"/>
  <c r="K58" i="1"/>
  <c r="L55" i="1"/>
  <c r="K50" i="1"/>
  <c r="L39" i="1"/>
  <c r="L81" i="1"/>
  <c r="K77" i="1"/>
  <c r="L58" i="1"/>
  <c r="K53" i="1"/>
  <c r="L50" i="1"/>
  <c r="K45" i="1"/>
  <c r="K87" i="1"/>
  <c r="L77" i="1"/>
  <c r="K72" i="1"/>
  <c r="L69" i="1"/>
  <c r="K64" i="1"/>
  <c r="L61" i="1"/>
  <c r="K56" i="1"/>
  <c r="L53" i="1"/>
  <c r="K48" i="1"/>
  <c r="L45" i="1"/>
  <c r="K40" i="1"/>
  <c r="K51" i="1"/>
  <c r="L40" i="1"/>
  <c r="K85" i="1"/>
  <c r="L75" i="1"/>
  <c r="K70" i="1"/>
  <c r="K54" i="1"/>
  <c r="L43" i="1"/>
  <c r="K38" i="1"/>
  <c r="L85" i="1"/>
  <c r="K80" i="1"/>
  <c r="L70" i="1"/>
  <c r="K65" i="1"/>
  <c r="K41" i="1"/>
  <c r="L88" i="1"/>
  <c r="K83" i="1"/>
  <c r="L57" i="1"/>
  <c r="K52" i="1"/>
  <c r="L41" i="1"/>
  <c r="L68" i="1"/>
  <c r="K63" i="1"/>
  <c r="L52" i="1"/>
  <c r="K47" i="1"/>
  <c r="L47" i="1"/>
  <c r="K42" i="1"/>
  <c r="L74" i="1"/>
  <c r="K69" i="1"/>
  <c r="L66" i="1"/>
  <c r="K61" i="1"/>
  <c r="L42" i="1"/>
  <c r="K27" i="1"/>
  <c r="L27" i="1"/>
  <c r="K36" i="1"/>
  <c r="L33" i="1"/>
  <c r="K28" i="1"/>
  <c r="L25" i="1"/>
  <c r="K20" i="1"/>
  <c r="L36" i="1"/>
  <c r="L28" i="1"/>
  <c r="K23" i="1"/>
  <c r="L20" i="1"/>
  <c r="K34" i="1"/>
  <c r="K26" i="1"/>
  <c r="L23" i="1"/>
  <c r="K37" i="1"/>
  <c r="L34" i="1"/>
  <c r="K29" i="1"/>
  <c r="L26" i="1"/>
  <c r="K21" i="1"/>
  <c r="L37" i="1"/>
  <c r="K32" i="1"/>
  <c r="L29" i="1"/>
  <c r="K24" i="1"/>
  <c r="L21" i="1"/>
  <c r="K35" i="1"/>
  <c r="L32" i="1"/>
  <c r="L24" i="1"/>
  <c r="K19" i="1"/>
  <c r="L35" i="1"/>
  <c r="K30" i="1"/>
  <c r="K22" i="1"/>
  <c r="L19" i="1"/>
  <c r="K33" i="1"/>
  <c r="L30" i="1"/>
  <c r="K25" i="1"/>
  <c r="L22" i="1"/>
  <c r="K18" i="1"/>
  <c r="L18" i="1"/>
  <c r="K17" i="1"/>
  <c r="L17" i="1"/>
</calcChain>
</file>

<file path=xl/sharedStrings.xml><?xml version="1.0" encoding="utf-8"?>
<sst xmlns="http://schemas.openxmlformats.org/spreadsheetml/2006/main" count="205" uniqueCount="74">
  <si>
    <t>UW</t>
  </si>
  <si>
    <t>University of Washington Oceanography Technical Services</t>
  </si>
  <si>
    <t>School of Oceanography</t>
  </si>
  <si>
    <t>Katherine A. Krogslund, Manager</t>
  </si>
  <si>
    <t>University of Washington</t>
  </si>
  <si>
    <t>Phone:</t>
  </si>
  <si>
    <t>(206) 543-9235</t>
  </si>
  <si>
    <t>E-Mail:</t>
  </si>
  <si>
    <t>Date:</t>
  </si>
  <si>
    <t>Analyst:</t>
  </si>
  <si>
    <t>Dilution</t>
  </si>
  <si>
    <t>Fo</t>
  </si>
  <si>
    <t>Fa</t>
  </si>
  <si>
    <t>Chlorophyll</t>
  </si>
  <si>
    <t>Phaeopigment</t>
  </si>
  <si>
    <t>Fo/Fa</t>
  </si>
  <si>
    <t>Factor</t>
  </si>
  <si>
    <t>Ratio</t>
  </si>
  <si>
    <t xml:space="preserve"> </t>
  </si>
  <si>
    <t>Chlorophyll Sample Analyses, Turner Model TD700 Fluorometer</t>
  </si>
  <si>
    <t>Vol</t>
  </si>
  <si>
    <t>Fo/Fa Max</t>
  </si>
  <si>
    <t>K</t>
  </si>
  <si>
    <t>Box 355351</t>
  </si>
  <si>
    <t xml:space="preserve">Marine Chemistry Laboratory </t>
  </si>
  <si>
    <t>Filename:</t>
  </si>
  <si>
    <t>(L)</t>
  </si>
  <si>
    <t>Extraction</t>
  </si>
  <si>
    <t>Volume</t>
  </si>
  <si>
    <t>Filtered</t>
  </si>
  <si>
    <t>Multi-Optional Raw Fluorescence Mode</t>
  </si>
  <si>
    <t>Lini</t>
  </si>
  <si>
    <t>Seattle, WA  98105-5351</t>
  </si>
  <si>
    <t>(ug/L)</t>
  </si>
  <si>
    <t>Kini</t>
  </si>
  <si>
    <t>L today</t>
  </si>
  <si>
    <t>Adjusted K</t>
  </si>
  <si>
    <t>aaron</t>
  </si>
  <si>
    <t>Aaron Morello</t>
  </si>
  <si>
    <t>kkrog@uw.edu</t>
  </si>
  <si>
    <t>aaronm@uw.edu</t>
  </si>
  <si>
    <t>KAK Fluorometer (Jan2016 Calibration)</t>
  </si>
  <si>
    <t>Orest2016Chl1</t>
  </si>
  <si>
    <t>Orest Kawka</t>
  </si>
  <si>
    <t>Jul/Aug 2016 Cruise Chls</t>
  </si>
  <si>
    <t>Cruise ID</t>
  </si>
  <si>
    <t>CTD/Dive #</t>
  </si>
  <si>
    <t>Niskin</t>
  </si>
  <si>
    <t>Depth (m)</t>
  </si>
  <si>
    <t xml:space="preserve"> Bottle ID</t>
  </si>
  <si>
    <t>SKQ201610S</t>
  </si>
  <si>
    <t>CH-18</t>
  </si>
  <si>
    <t>CH-26</t>
  </si>
  <si>
    <t>CH-25</t>
  </si>
  <si>
    <t>CH-24</t>
  </si>
  <si>
    <t>CH-19</t>
  </si>
  <si>
    <t>CH-23</t>
  </si>
  <si>
    <t>CH-20</t>
  </si>
  <si>
    <t>CH-17</t>
  </si>
  <si>
    <t>CH-22</t>
  </si>
  <si>
    <t>CH-21</t>
  </si>
  <si>
    <t>CH-02</t>
  </si>
  <si>
    <t>CH-03</t>
  </si>
  <si>
    <t>CH-04</t>
  </si>
  <si>
    <t>CH-05</t>
  </si>
  <si>
    <t>CH-01</t>
  </si>
  <si>
    <t>CH-06</t>
  </si>
  <si>
    <t>CH-07</t>
  </si>
  <si>
    <t>CH-08</t>
  </si>
  <si>
    <t>J918</t>
  </si>
  <si>
    <t>SF</t>
  </si>
  <si>
    <t>–</t>
  </si>
  <si>
    <t>SA</t>
  </si>
  <si>
    <t>J945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</si>
</sst>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[$-409]d\-mmm\-yy;@"/>
  </numFmts>
  <fonts count="17" x14ac:knownFonts="1">
    <font>
      <sz val="10"/>
      <name val="Geneva"/>
    </font>
    <font>
      <sz val="9"/>
      <name val="Geneva"/>
    </font>
    <font>
      <sz val="10"/>
      <name val="Geneva"/>
    </font>
    <font>
      <u/>
      <sz val="10"/>
      <color theme="10"/>
      <name val="Geneva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</font>
    <font>
      <sz val="8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2" fontId="12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 applyAlignment="1">
      <alignment horizontal="left"/>
    </xf>
    <xf numFmtId="10" fontId="12" fillId="0" borderId="0" xfId="1" applyNumberFormat="1" applyFont="1"/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</cellXfs>
  <cellStyles count="4">
    <cellStyle name="Followed Hyperlink" xfId="3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krog@uw.edu" TargetMode="External"/><Relationship Id="rId2" Type="http://schemas.openxmlformats.org/officeDocument/2006/relationships/hyperlink" Target="mailto:aaronm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155"/>
  <sheetViews>
    <sheetView tabSelected="1" topLeftCell="B1" workbookViewId="0">
      <selection activeCell="Q100" sqref="Q100"/>
    </sheetView>
  </sheetViews>
  <sheetFormatPr baseColWidth="10" defaultColWidth="11.5703125" defaultRowHeight="13" x14ac:dyDescent="0"/>
  <cols>
    <col min="1" max="1" width="11.5703125" customWidth="1"/>
    <col min="2" max="2" width="10.28515625" customWidth="1"/>
    <col min="3" max="3" width="9.8554687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6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>
      <c r="A2" s="9" t="s">
        <v>2</v>
      </c>
      <c r="B2" s="9"/>
      <c r="C2" s="10"/>
      <c r="D2" s="10"/>
      <c r="E2" s="11"/>
      <c r="F2" s="9" t="s">
        <v>24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">
      <c r="A3" s="9" t="s">
        <v>23</v>
      </c>
      <c r="B3" s="9"/>
      <c r="C3" s="10"/>
      <c r="D3" s="10"/>
      <c r="E3" s="11"/>
      <c r="F3" s="10" t="s">
        <v>3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">
      <c r="A4" s="9" t="s">
        <v>4</v>
      </c>
      <c r="B4" s="9"/>
      <c r="C4" s="11"/>
      <c r="D4" s="10"/>
      <c r="E4" s="11"/>
      <c r="F4" s="10" t="s">
        <v>38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">
      <c r="A5" s="9" t="s">
        <v>32</v>
      </c>
      <c r="B5" s="9"/>
      <c r="C5" s="10"/>
      <c r="D5" s="10"/>
      <c r="E5" s="11"/>
      <c r="F5" s="5"/>
      <c r="G5" s="14" t="s">
        <v>5</v>
      </c>
      <c r="H5" s="15" t="s">
        <v>6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">
      <c r="A6" s="5"/>
      <c r="B6" s="16"/>
      <c r="C6" s="17"/>
      <c r="D6" s="17"/>
      <c r="E6" s="5"/>
      <c r="F6" s="5"/>
      <c r="G6" s="18" t="s">
        <v>7</v>
      </c>
      <c r="H6" s="19" t="s">
        <v>39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41</v>
      </c>
      <c r="B7" s="16"/>
      <c r="C7" s="17"/>
      <c r="D7" s="17"/>
      <c r="E7" s="5"/>
      <c r="F7" s="5"/>
      <c r="G7" s="5"/>
      <c r="H7" s="19" t="s">
        <v>40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" thickBot="1">
      <c r="A8" s="20" t="s">
        <v>19</v>
      </c>
      <c r="B8" s="5"/>
      <c r="C8" s="21"/>
      <c r="D8" s="21"/>
      <c r="E8" s="21"/>
      <c r="F8" s="22"/>
      <c r="G8" s="8"/>
      <c r="H8" s="8" t="s">
        <v>30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4" thickTop="1">
      <c r="A9" s="23" t="s">
        <v>43</v>
      </c>
      <c r="B9" s="24"/>
      <c r="C9" s="25"/>
      <c r="D9" s="26"/>
      <c r="E9" s="26"/>
      <c r="F9" s="27"/>
      <c r="G9" s="28"/>
      <c r="H9" s="29"/>
      <c r="I9" s="29" t="s">
        <v>8</v>
      </c>
      <c r="J9" s="30"/>
      <c r="K9" s="5"/>
      <c r="L9" s="5"/>
      <c r="M9" s="5"/>
      <c r="N9" s="5"/>
      <c r="O9" s="5"/>
      <c r="P9" s="5"/>
      <c r="Q9" s="5"/>
      <c r="R9" s="5"/>
    </row>
    <row r="10" spans="1:18">
      <c r="A10" s="31" t="s">
        <v>44</v>
      </c>
      <c r="B10" s="32"/>
      <c r="C10" s="33"/>
      <c r="D10" s="32"/>
      <c r="E10" s="33"/>
      <c r="F10" s="34"/>
      <c r="G10" s="35"/>
      <c r="H10" s="36"/>
      <c r="I10" s="36" t="s">
        <v>9</v>
      </c>
      <c r="J10" s="37" t="s">
        <v>37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21</v>
      </c>
      <c r="B11" s="39">
        <v>1.9821899999999999</v>
      </c>
      <c r="C11" s="40"/>
      <c r="D11" s="40"/>
      <c r="E11" s="41" t="s">
        <v>18</v>
      </c>
      <c r="F11" s="42"/>
      <c r="G11" s="42"/>
      <c r="H11" s="43"/>
      <c r="I11" s="44"/>
      <c r="J11" s="45" t="s">
        <v>18</v>
      </c>
      <c r="K11" s="5"/>
      <c r="L11" s="5"/>
      <c r="M11" s="5"/>
      <c r="N11" s="5"/>
      <c r="O11" s="7"/>
      <c r="P11" s="5"/>
      <c r="Q11" s="5"/>
      <c r="R11" s="5"/>
    </row>
    <row r="12" spans="1:18" ht="14" thickBot="1">
      <c r="A12" s="46" t="s">
        <v>22</v>
      </c>
      <c r="B12" s="47" t="e">
        <f>P24</f>
        <v>#DIV/0!</v>
      </c>
      <c r="C12" s="48"/>
      <c r="D12" s="49"/>
      <c r="E12" s="50"/>
      <c r="F12" s="51"/>
      <c r="G12" s="51"/>
      <c r="H12" s="52"/>
      <c r="I12" s="53" t="s">
        <v>25</v>
      </c>
      <c r="J12" s="54" t="s">
        <v>42</v>
      </c>
      <c r="K12" s="5"/>
      <c r="L12" s="5"/>
      <c r="M12" s="5"/>
      <c r="N12" s="5"/>
      <c r="O12" s="5"/>
      <c r="P12" s="5"/>
      <c r="Q12" s="5"/>
      <c r="R12" s="5"/>
    </row>
    <row r="13" spans="1:18" s="1" customFormat="1" ht="14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>
      <c r="A14" s="61"/>
      <c r="B14" s="61"/>
      <c r="C14" s="61"/>
      <c r="D14" s="61"/>
      <c r="E14" s="61"/>
      <c r="F14" s="62" t="s">
        <v>28</v>
      </c>
      <c r="G14" s="63" t="s">
        <v>27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>
      <c r="A15" s="61"/>
      <c r="B15" s="61"/>
      <c r="C15" s="56"/>
      <c r="D15" s="56"/>
      <c r="E15" s="62"/>
      <c r="F15" s="62" t="s">
        <v>29</v>
      </c>
      <c r="G15" s="63" t="s">
        <v>20</v>
      </c>
      <c r="H15" s="62" t="s">
        <v>10</v>
      </c>
      <c r="I15" s="61"/>
      <c r="J15" s="61"/>
      <c r="K15" s="64" t="s">
        <v>13</v>
      </c>
      <c r="L15" s="62" t="s">
        <v>14</v>
      </c>
      <c r="M15" s="65" t="s">
        <v>15</v>
      </c>
      <c r="N15" s="61"/>
      <c r="O15" s="61"/>
      <c r="P15" s="61"/>
      <c r="Q15" s="61"/>
      <c r="R15" s="61"/>
    </row>
    <row r="16" spans="1:18" s="1" customFormat="1" ht="14" thickBot="1">
      <c r="A16" s="66" t="s">
        <v>45</v>
      </c>
      <c r="B16" s="67" t="s">
        <v>46</v>
      </c>
      <c r="C16" s="67" t="s">
        <v>47</v>
      </c>
      <c r="D16" s="67" t="s">
        <v>48</v>
      </c>
      <c r="E16" s="67" t="s">
        <v>49</v>
      </c>
      <c r="F16" s="66" t="s">
        <v>26</v>
      </c>
      <c r="G16" s="68" t="s">
        <v>26</v>
      </c>
      <c r="H16" s="66" t="s">
        <v>16</v>
      </c>
      <c r="I16" s="68" t="s">
        <v>11</v>
      </c>
      <c r="J16" s="68" t="s">
        <v>12</v>
      </c>
      <c r="K16" s="69" t="s">
        <v>33</v>
      </c>
      <c r="L16" s="69" t="s">
        <v>33</v>
      </c>
      <c r="M16" s="70" t="s">
        <v>17</v>
      </c>
      <c r="N16" s="61"/>
      <c r="O16" s="71"/>
      <c r="P16" s="61"/>
      <c r="Q16" s="61"/>
      <c r="R16" s="61"/>
    </row>
    <row r="17" spans="1:18" s="1" customFormat="1" ht="16" thickTop="1">
      <c r="A17" s="1" t="s">
        <v>50</v>
      </c>
      <c r="B17" s="81">
        <v>3</v>
      </c>
      <c r="C17" s="81">
        <v>1</v>
      </c>
      <c r="D17" s="81">
        <v>220</v>
      </c>
      <c r="E17" s="82" t="s">
        <v>51</v>
      </c>
      <c r="F17" s="72">
        <v>0.5</v>
      </c>
      <c r="G17" s="72">
        <v>0.01</v>
      </c>
      <c r="H17" s="73">
        <v>1</v>
      </c>
      <c r="I17" s="74"/>
      <c r="J17" s="74"/>
      <c r="K17" s="72" t="e">
        <f t="shared" ref="K17" si="0">($B$12)*($B$11)/($B$11-1)*(I17-J17)*(G17)/(F17)*(H17)</f>
        <v>#DIV/0!</v>
      </c>
      <c r="L17" s="72" t="e">
        <f t="shared" ref="L17" si="1">($B$12)*($B$11)/($B$11-1)*(($B$11*J17)-I17)*(G17)/(F17)*(H17)</f>
        <v>#DIV/0!</v>
      </c>
      <c r="M17" s="75" t="e">
        <f t="shared" ref="M17" si="2">$I17/$J17</f>
        <v>#DIV/0!</v>
      </c>
      <c r="N17" s="59"/>
      <c r="O17" s="76" t="s">
        <v>31</v>
      </c>
      <c r="P17" s="71">
        <v>161.03</v>
      </c>
      <c r="Q17" s="61"/>
      <c r="R17" s="61"/>
    </row>
    <row r="18" spans="1:18" s="1" customFormat="1" ht="15">
      <c r="A18" s="1" t="s">
        <v>50</v>
      </c>
      <c r="B18" s="81">
        <v>3</v>
      </c>
      <c r="C18" s="81">
        <v>3</v>
      </c>
      <c r="D18" s="81">
        <v>200</v>
      </c>
      <c r="E18" s="82" t="s">
        <v>52</v>
      </c>
      <c r="F18" s="72">
        <v>0.5</v>
      </c>
      <c r="G18" s="72">
        <v>0.01</v>
      </c>
      <c r="H18" s="73">
        <v>1</v>
      </c>
      <c r="I18" s="74"/>
      <c r="J18" s="74"/>
      <c r="K18" s="72" t="e">
        <f t="shared" ref="K18" si="3">($B$12)*($B$11)/($B$11-1)*(I18-J18)*(G18)/(F18)*(H18)</f>
        <v>#DIV/0!</v>
      </c>
      <c r="L18" s="72" t="e">
        <f t="shared" ref="L18" si="4">($B$12)*($B$11)/($B$11-1)*(($B$11*J18)-I18)*(G18)/(F18)*(H18)</f>
        <v>#DIV/0!</v>
      </c>
      <c r="M18" s="75" t="e">
        <f t="shared" ref="M18:M80" si="5">$I18/$J18</f>
        <v>#DIV/0!</v>
      </c>
      <c r="N18" s="61"/>
      <c r="O18" s="76" t="s">
        <v>34</v>
      </c>
      <c r="P18" s="55">
        <v>0.120749882</v>
      </c>
      <c r="Q18" s="61"/>
      <c r="R18" s="61"/>
    </row>
    <row r="19" spans="1:18" s="1" customFormat="1" ht="15">
      <c r="A19" s="1" t="s">
        <v>50</v>
      </c>
      <c r="B19" s="81">
        <v>3</v>
      </c>
      <c r="C19" s="81">
        <v>5</v>
      </c>
      <c r="D19" s="81">
        <v>180</v>
      </c>
      <c r="E19" s="82" t="s">
        <v>53</v>
      </c>
      <c r="F19" s="72">
        <v>0.5</v>
      </c>
      <c r="G19" s="72">
        <v>0.01</v>
      </c>
      <c r="H19" s="73">
        <v>1</v>
      </c>
      <c r="I19" s="74"/>
      <c r="J19" s="74"/>
      <c r="K19" s="72" t="e">
        <f t="shared" ref="K19:K37" si="6">($B$12)*($B$11)/($B$11-1)*(I19-J19)*(G19)/(F19)*(H19)</f>
        <v>#DIV/0!</v>
      </c>
      <c r="L19" s="72" t="e">
        <f t="shared" ref="L19:L37" si="7">($B$12)*($B$11)/($B$11-1)*(($B$11*J19)-I19)*(G19)/(F19)*(H19)</f>
        <v>#DIV/0!</v>
      </c>
      <c r="M19" s="75" t="e">
        <f t="shared" si="5"/>
        <v>#DIV/0!</v>
      </c>
      <c r="N19" s="61"/>
      <c r="O19" s="76"/>
      <c r="P19" s="55"/>
      <c r="Q19" s="61"/>
      <c r="R19" s="61"/>
    </row>
    <row r="20" spans="1:18" s="1" customFormat="1" ht="15">
      <c r="A20" s="1" t="s">
        <v>50</v>
      </c>
      <c r="B20" s="81">
        <v>3</v>
      </c>
      <c r="C20" s="81">
        <v>7</v>
      </c>
      <c r="D20" s="81">
        <v>160</v>
      </c>
      <c r="E20" s="82" t="s">
        <v>54</v>
      </c>
      <c r="F20" s="72">
        <v>0.5</v>
      </c>
      <c r="G20" s="72">
        <v>0.01</v>
      </c>
      <c r="H20" s="73">
        <v>1</v>
      </c>
      <c r="I20" s="74"/>
      <c r="J20" s="74"/>
      <c r="K20" s="72" t="e">
        <f t="shared" si="6"/>
        <v>#DIV/0!</v>
      </c>
      <c r="L20" s="72" t="e">
        <f t="shared" si="7"/>
        <v>#DIV/0!</v>
      </c>
      <c r="M20" s="75" t="e">
        <f t="shared" si="5"/>
        <v>#DIV/0!</v>
      </c>
      <c r="N20" s="61"/>
      <c r="O20" s="76"/>
      <c r="P20" s="55"/>
      <c r="Q20" s="61"/>
      <c r="R20" s="61"/>
    </row>
    <row r="21" spans="1:18" s="1" customFormat="1" ht="15">
      <c r="A21" s="1" t="s">
        <v>50</v>
      </c>
      <c r="B21" s="81">
        <v>3</v>
      </c>
      <c r="C21" s="81">
        <v>9</v>
      </c>
      <c r="D21" s="81">
        <v>140</v>
      </c>
      <c r="E21" s="82" t="s">
        <v>55</v>
      </c>
      <c r="F21" s="72">
        <v>0.5</v>
      </c>
      <c r="G21" s="72">
        <v>0.01</v>
      </c>
      <c r="H21" s="73">
        <v>1</v>
      </c>
      <c r="I21" s="74"/>
      <c r="J21" s="74"/>
      <c r="K21" s="72" t="e">
        <f t="shared" si="6"/>
        <v>#DIV/0!</v>
      </c>
      <c r="L21" s="72" t="e">
        <f t="shared" si="7"/>
        <v>#DIV/0!</v>
      </c>
      <c r="M21" s="75" t="e">
        <f t="shared" si="5"/>
        <v>#DIV/0!</v>
      </c>
      <c r="N21" s="77"/>
      <c r="O21" s="76" t="s">
        <v>35</v>
      </c>
      <c r="P21" s="71"/>
      <c r="Q21" s="78"/>
      <c r="R21" s="78"/>
    </row>
    <row r="22" spans="1:18" s="1" customFormat="1" ht="15">
      <c r="A22" s="1" t="s">
        <v>50</v>
      </c>
      <c r="B22" s="81">
        <v>3</v>
      </c>
      <c r="C22" s="81">
        <v>11</v>
      </c>
      <c r="D22" s="81">
        <v>120</v>
      </c>
      <c r="E22" s="82" t="s">
        <v>56</v>
      </c>
      <c r="F22" s="72">
        <v>0.5</v>
      </c>
      <c r="G22" s="72">
        <v>0.01</v>
      </c>
      <c r="H22" s="73">
        <v>1</v>
      </c>
      <c r="I22" s="74"/>
      <c r="J22" s="74"/>
      <c r="K22" s="72" t="e">
        <f t="shared" si="6"/>
        <v>#DIV/0!</v>
      </c>
      <c r="L22" s="72" t="e">
        <f t="shared" si="7"/>
        <v>#DIV/0!</v>
      </c>
      <c r="M22" s="75" t="e">
        <f t="shared" si="5"/>
        <v>#DIV/0!</v>
      </c>
      <c r="N22" s="61"/>
      <c r="O22" s="76"/>
      <c r="P22" s="79"/>
      <c r="Q22" s="61"/>
      <c r="R22" s="77"/>
    </row>
    <row r="23" spans="1:18" s="1" customFormat="1" ht="15">
      <c r="A23" s="1" t="s">
        <v>50</v>
      </c>
      <c r="B23" s="81">
        <v>3</v>
      </c>
      <c r="C23" s="81">
        <v>13</v>
      </c>
      <c r="D23" s="81">
        <v>100</v>
      </c>
      <c r="E23" s="82" t="s">
        <v>57</v>
      </c>
      <c r="F23" s="72">
        <v>0.5</v>
      </c>
      <c r="G23" s="72">
        <v>0.01</v>
      </c>
      <c r="H23" s="73">
        <v>1</v>
      </c>
      <c r="I23" s="74"/>
      <c r="J23" s="74"/>
      <c r="K23" s="72" t="e">
        <f t="shared" si="6"/>
        <v>#DIV/0!</v>
      </c>
      <c r="L23" s="72" t="e">
        <f t="shared" si="7"/>
        <v>#DIV/0!</v>
      </c>
      <c r="M23" s="75" t="e">
        <f t="shared" si="5"/>
        <v>#DIV/0!</v>
      </c>
      <c r="N23" s="61"/>
      <c r="O23" s="76"/>
      <c r="P23" s="55"/>
      <c r="Q23" s="61"/>
      <c r="R23" s="80"/>
    </row>
    <row r="24" spans="1:18" s="1" customFormat="1" ht="15">
      <c r="A24" s="1" t="s">
        <v>50</v>
      </c>
      <c r="B24" s="81">
        <v>3</v>
      </c>
      <c r="C24" s="81">
        <v>15</v>
      </c>
      <c r="D24" s="81">
        <v>80</v>
      </c>
      <c r="E24" s="82" t="s">
        <v>58</v>
      </c>
      <c r="F24" s="72">
        <v>0.5</v>
      </c>
      <c r="G24" s="72">
        <v>0.01</v>
      </c>
      <c r="H24" s="73">
        <v>1</v>
      </c>
      <c r="I24" s="74"/>
      <c r="J24" s="74"/>
      <c r="K24" s="72" t="e">
        <f t="shared" si="6"/>
        <v>#DIV/0!</v>
      </c>
      <c r="L24" s="72" t="e">
        <f t="shared" si="7"/>
        <v>#DIV/0!</v>
      </c>
      <c r="M24" s="75" t="e">
        <f t="shared" si="5"/>
        <v>#DIV/0!</v>
      </c>
      <c r="N24" s="61"/>
      <c r="O24" s="76" t="s">
        <v>36</v>
      </c>
      <c r="P24" s="55" t="e">
        <f>(P17/P21)*P18</f>
        <v>#DIV/0!</v>
      </c>
      <c r="Q24" s="61"/>
      <c r="R24" s="61"/>
    </row>
    <row r="25" spans="1:18" s="1" customFormat="1" ht="15">
      <c r="A25" s="1" t="s">
        <v>50</v>
      </c>
      <c r="B25" s="81">
        <v>3</v>
      </c>
      <c r="C25" s="81">
        <v>17</v>
      </c>
      <c r="D25" s="81">
        <v>60</v>
      </c>
      <c r="E25" s="82" t="s">
        <v>59</v>
      </c>
      <c r="F25" s="72">
        <v>0.5</v>
      </c>
      <c r="G25" s="72">
        <v>0.01</v>
      </c>
      <c r="H25" s="73">
        <v>1</v>
      </c>
      <c r="I25" s="74"/>
      <c r="J25" s="74"/>
      <c r="K25" s="72" t="e">
        <f t="shared" si="6"/>
        <v>#DIV/0!</v>
      </c>
      <c r="L25" s="72" t="e">
        <f t="shared" si="7"/>
        <v>#DIV/0!</v>
      </c>
      <c r="M25" s="75" t="e">
        <f t="shared" si="5"/>
        <v>#DIV/0!</v>
      </c>
      <c r="N25" s="61"/>
      <c r="O25" s="61"/>
      <c r="P25" s="61"/>
      <c r="Q25" s="61"/>
      <c r="R25" s="61"/>
    </row>
    <row r="26" spans="1:18" s="1" customFormat="1" ht="15">
      <c r="A26" s="1" t="s">
        <v>50</v>
      </c>
      <c r="B26" s="81">
        <v>3</v>
      </c>
      <c r="C26" s="81">
        <v>19</v>
      </c>
      <c r="D26" s="81">
        <v>40</v>
      </c>
      <c r="E26" s="82" t="s">
        <v>60</v>
      </c>
      <c r="F26" s="72">
        <v>0.5</v>
      </c>
      <c r="G26" s="72">
        <v>0.01</v>
      </c>
      <c r="H26" s="73">
        <v>1</v>
      </c>
      <c r="I26" s="74"/>
      <c r="J26" s="74"/>
      <c r="K26" s="72" t="e">
        <f t="shared" si="6"/>
        <v>#DIV/0!</v>
      </c>
      <c r="L26" s="72" t="e">
        <f t="shared" si="7"/>
        <v>#DIV/0!</v>
      </c>
      <c r="M26" s="75" t="e">
        <f t="shared" si="5"/>
        <v>#DIV/0!</v>
      </c>
      <c r="N26" s="61"/>
      <c r="O26" s="61"/>
      <c r="P26" s="61"/>
      <c r="Q26" s="61"/>
      <c r="R26" s="61"/>
    </row>
    <row r="27" spans="1:18" s="1" customFormat="1" ht="15">
      <c r="A27" s="1" t="s">
        <v>50</v>
      </c>
      <c r="B27" s="81">
        <v>3</v>
      </c>
      <c r="C27" s="81">
        <v>19</v>
      </c>
      <c r="D27" s="81">
        <v>40</v>
      </c>
      <c r="E27" s="82" t="s">
        <v>61</v>
      </c>
      <c r="F27" s="72">
        <v>0.5</v>
      </c>
      <c r="G27" s="72">
        <v>0.01</v>
      </c>
      <c r="H27" s="73">
        <v>1</v>
      </c>
      <c r="I27" s="74"/>
      <c r="J27" s="74"/>
      <c r="K27" s="72" t="e">
        <f t="shared" ref="K27" si="8">($B$12)*($B$11)/($B$11-1)*(I27-J27)*(G27)/(F27)*(H27)</f>
        <v>#DIV/0!</v>
      </c>
      <c r="L27" s="72" t="e">
        <f t="shared" ref="L27" si="9">($B$12)*($B$11)/($B$11-1)*(($B$11*J27)-I27)*(G27)/(F27)*(H27)</f>
        <v>#DIV/0!</v>
      </c>
      <c r="M27" s="75" t="e">
        <f t="shared" si="5"/>
        <v>#DIV/0!</v>
      </c>
      <c r="N27" s="5"/>
      <c r="O27" s="61"/>
      <c r="P27" s="61"/>
      <c r="Q27" s="61"/>
      <c r="R27" s="61"/>
    </row>
    <row r="28" spans="1:18" s="1" customFormat="1" ht="15">
      <c r="A28" s="1" t="s">
        <v>50</v>
      </c>
      <c r="B28" s="81">
        <v>3</v>
      </c>
      <c r="C28" s="81">
        <v>21</v>
      </c>
      <c r="D28" s="81">
        <v>20</v>
      </c>
      <c r="E28" s="82" t="s">
        <v>62</v>
      </c>
      <c r="F28" s="72">
        <v>0.5</v>
      </c>
      <c r="G28" s="72">
        <v>0.01</v>
      </c>
      <c r="H28" s="73">
        <v>1</v>
      </c>
      <c r="I28" s="74"/>
      <c r="J28" s="74"/>
      <c r="K28" s="72" t="e">
        <f t="shared" si="6"/>
        <v>#DIV/0!</v>
      </c>
      <c r="L28" s="72" t="e">
        <f t="shared" si="7"/>
        <v>#DIV/0!</v>
      </c>
      <c r="M28" s="75" t="e">
        <f t="shared" si="5"/>
        <v>#DIV/0!</v>
      </c>
      <c r="N28" s="5"/>
      <c r="O28" s="61"/>
      <c r="P28" s="61"/>
      <c r="Q28" s="61"/>
      <c r="R28" s="61"/>
    </row>
    <row r="29" spans="1:18" ht="15">
      <c r="A29" s="1" t="s">
        <v>50</v>
      </c>
      <c r="B29" s="81">
        <v>3</v>
      </c>
      <c r="C29" s="81">
        <v>21</v>
      </c>
      <c r="D29" s="81">
        <v>20</v>
      </c>
      <c r="E29" s="82" t="s">
        <v>63</v>
      </c>
      <c r="F29" s="72">
        <v>0.5</v>
      </c>
      <c r="G29" s="72">
        <v>0.01</v>
      </c>
      <c r="H29" s="73">
        <v>1</v>
      </c>
      <c r="I29" s="74"/>
      <c r="J29" s="74"/>
      <c r="K29" s="72" t="e">
        <f t="shared" si="6"/>
        <v>#DIV/0!</v>
      </c>
      <c r="L29" s="72" t="e">
        <f t="shared" si="7"/>
        <v>#DIV/0!</v>
      </c>
      <c r="M29" s="75" t="e">
        <f t="shared" si="5"/>
        <v>#DIV/0!</v>
      </c>
      <c r="N29" s="5"/>
      <c r="O29" s="5"/>
      <c r="P29" s="5"/>
      <c r="Q29" s="5"/>
      <c r="R29" s="5"/>
    </row>
    <row r="30" spans="1:18" ht="15">
      <c r="A30" s="1" t="s">
        <v>50</v>
      </c>
      <c r="B30" s="81">
        <v>3</v>
      </c>
      <c r="C30" s="81">
        <v>23</v>
      </c>
      <c r="D30" s="81">
        <v>10</v>
      </c>
      <c r="E30" s="82" t="s">
        <v>64</v>
      </c>
      <c r="F30" s="72">
        <v>0.5</v>
      </c>
      <c r="G30" s="72">
        <v>0.01</v>
      </c>
      <c r="H30" s="73">
        <v>1</v>
      </c>
      <c r="I30" s="74"/>
      <c r="J30" s="74"/>
      <c r="K30" s="72" t="e">
        <f t="shared" si="6"/>
        <v>#DIV/0!</v>
      </c>
      <c r="L30" s="72" t="e">
        <f t="shared" si="7"/>
        <v>#DIV/0!</v>
      </c>
      <c r="M30" s="75" t="e">
        <f t="shared" si="5"/>
        <v>#DIV/0!</v>
      </c>
      <c r="N30" s="5"/>
      <c r="O30" s="5"/>
      <c r="P30" s="5"/>
      <c r="Q30" s="5"/>
      <c r="R30" s="5"/>
    </row>
    <row r="31" spans="1:18" ht="15">
      <c r="B31" s="83"/>
      <c r="C31" s="84"/>
      <c r="D31" s="84"/>
      <c r="E31" s="82"/>
      <c r="F31" s="72"/>
      <c r="G31" s="72"/>
      <c r="H31" s="73"/>
      <c r="I31" s="74"/>
      <c r="J31" s="74"/>
      <c r="K31" s="72"/>
      <c r="L31" s="72"/>
      <c r="M31" s="75"/>
      <c r="N31" s="5"/>
      <c r="O31" s="5"/>
      <c r="P31" s="5"/>
      <c r="Q31" s="5"/>
      <c r="R31" s="5"/>
    </row>
    <row r="32" spans="1:18" ht="15">
      <c r="A32" s="1" t="s">
        <v>50</v>
      </c>
      <c r="B32" s="81">
        <v>6</v>
      </c>
      <c r="C32" s="81">
        <v>1</v>
      </c>
      <c r="D32" s="81">
        <v>220</v>
      </c>
      <c r="E32" s="82" t="s">
        <v>65</v>
      </c>
      <c r="F32" s="72">
        <v>0.5</v>
      </c>
      <c r="G32" s="72">
        <v>0.01</v>
      </c>
      <c r="H32" s="73">
        <v>1</v>
      </c>
      <c r="I32" s="74"/>
      <c r="J32" s="74"/>
      <c r="K32" s="72" t="e">
        <f t="shared" si="6"/>
        <v>#DIV/0!</v>
      </c>
      <c r="L32" s="72" t="e">
        <f t="shared" si="7"/>
        <v>#DIV/0!</v>
      </c>
      <c r="M32" s="75" t="e">
        <f t="shared" si="5"/>
        <v>#DIV/0!</v>
      </c>
      <c r="N32" s="5"/>
      <c r="O32" s="5"/>
      <c r="P32" s="5"/>
      <c r="Q32" s="5"/>
      <c r="R32" s="5"/>
    </row>
    <row r="33" spans="1:18" ht="15">
      <c r="A33" s="1" t="s">
        <v>50</v>
      </c>
      <c r="B33" s="81">
        <v>6</v>
      </c>
      <c r="C33" s="81">
        <v>3</v>
      </c>
      <c r="D33" s="81">
        <v>200</v>
      </c>
      <c r="E33" s="82" t="s">
        <v>61</v>
      </c>
      <c r="F33" s="72">
        <v>0.5</v>
      </c>
      <c r="G33" s="72">
        <v>0.01</v>
      </c>
      <c r="H33" s="73">
        <v>1</v>
      </c>
      <c r="I33" s="74"/>
      <c r="J33" s="74"/>
      <c r="K33" s="72" t="e">
        <f t="shared" si="6"/>
        <v>#DIV/0!</v>
      </c>
      <c r="L33" s="72" t="e">
        <f t="shared" si="7"/>
        <v>#DIV/0!</v>
      </c>
      <c r="M33" s="75" t="e">
        <f t="shared" si="5"/>
        <v>#DIV/0!</v>
      </c>
      <c r="N33" s="5"/>
      <c r="O33" s="5"/>
      <c r="P33" s="5"/>
      <c r="Q33" s="5"/>
      <c r="R33" s="5"/>
    </row>
    <row r="34" spans="1:18" s="1" customFormat="1" ht="15">
      <c r="A34" s="1" t="s">
        <v>50</v>
      </c>
      <c r="B34" s="81">
        <v>6</v>
      </c>
      <c r="C34" s="81">
        <v>5</v>
      </c>
      <c r="D34" s="81">
        <v>180</v>
      </c>
      <c r="E34" s="82" t="s">
        <v>62</v>
      </c>
      <c r="F34" s="72">
        <v>0.5</v>
      </c>
      <c r="G34" s="72">
        <v>0.01</v>
      </c>
      <c r="H34" s="73">
        <v>1</v>
      </c>
      <c r="I34" s="74"/>
      <c r="J34" s="74"/>
      <c r="K34" s="72" t="e">
        <f t="shared" si="6"/>
        <v>#DIV/0!</v>
      </c>
      <c r="L34" s="72" t="e">
        <f t="shared" si="7"/>
        <v>#DIV/0!</v>
      </c>
      <c r="M34" s="75" t="e">
        <f t="shared" si="5"/>
        <v>#DIV/0!</v>
      </c>
      <c r="N34" s="5"/>
      <c r="O34" s="61"/>
      <c r="P34" s="61"/>
      <c r="Q34" s="61"/>
      <c r="R34" s="61"/>
    </row>
    <row r="35" spans="1:18" s="1" customFormat="1" ht="15">
      <c r="A35" s="1" t="s">
        <v>50</v>
      </c>
      <c r="B35" s="81">
        <v>6</v>
      </c>
      <c r="C35" s="81">
        <v>7</v>
      </c>
      <c r="D35" s="81">
        <v>160</v>
      </c>
      <c r="E35" s="82" t="s">
        <v>63</v>
      </c>
      <c r="F35" s="72">
        <v>0.5</v>
      </c>
      <c r="G35" s="72">
        <v>0.01</v>
      </c>
      <c r="H35" s="73">
        <v>1</v>
      </c>
      <c r="I35" s="74"/>
      <c r="J35" s="74"/>
      <c r="K35" s="72" t="e">
        <f t="shared" si="6"/>
        <v>#DIV/0!</v>
      </c>
      <c r="L35" s="72" t="e">
        <f t="shared" si="7"/>
        <v>#DIV/0!</v>
      </c>
      <c r="M35" s="75" t="e">
        <f t="shared" si="5"/>
        <v>#DIV/0!</v>
      </c>
      <c r="N35" s="5"/>
      <c r="O35" s="61"/>
      <c r="P35" s="61"/>
      <c r="Q35" s="61"/>
      <c r="R35" s="61"/>
    </row>
    <row r="36" spans="1:18" s="1" customFormat="1" ht="15">
      <c r="A36" s="1" t="s">
        <v>50</v>
      </c>
      <c r="B36" s="81">
        <v>6</v>
      </c>
      <c r="C36" s="81">
        <v>9</v>
      </c>
      <c r="D36" s="81">
        <v>140</v>
      </c>
      <c r="E36" s="82" t="s">
        <v>64</v>
      </c>
      <c r="F36" s="72">
        <v>0.5</v>
      </c>
      <c r="G36" s="72">
        <v>0.01</v>
      </c>
      <c r="H36" s="73">
        <v>1</v>
      </c>
      <c r="I36" s="74"/>
      <c r="J36" s="74"/>
      <c r="K36" s="72" t="e">
        <f t="shared" si="6"/>
        <v>#DIV/0!</v>
      </c>
      <c r="L36" s="72" t="e">
        <f t="shared" si="7"/>
        <v>#DIV/0!</v>
      </c>
      <c r="M36" s="75" t="e">
        <f t="shared" si="5"/>
        <v>#DIV/0!</v>
      </c>
      <c r="N36" s="5"/>
      <c r="O36" s="5"/>
      <c r="P36" s="5"/>
      <c r="Q36" s="61"/>
      <c r="R36" s="61"/>
    </row>
    <row r="37" spans="1:18" s="1" customFormat="1" ht="15">
      <c r="A37" s="1" t="s">
        <v>50</v>
      </c>
      <c r="B37" s="81">
        <v>6</v>
      </c>
      <c r="C37" s="81">
        <v>11</v>
      </c>
      <c r="D37" s="81">
        <v>120</v>
      </c>
      <c r="E37" s="82" t="s">
        <v>66</v>
      </c>
      <c r="F37" s="72">
        <v>0.5</v>
      </c>
      <c r="G37" s="72">
        <v>0.01</v>
      </c>
      <c r="H37" s="73">
        <v>1</v>
      </c>
      <c r="I37" s="74"/>
      <c r="J37" s="74"/>
      <c r="K37" s="72" t="e">
        <f t="shared" si="6"/>
        <v>#DIV/0!</v>
      </c>
      <c r="L37" s="72" t="e">
        <f t="shared" si="7"/>
        <v>#DIV/0!</v>
      </c>
      <c r="M37" s="75" t="e">
        <f t="shared" si="5"/>
        <v>#DIV/0!</v>
      </c>
      <c r="N37" s="5"/>
      <c r="O37" s="5"/>
      <c r="P37" s="5"/>
      <c r="Q37" s="61"/>
      <c r="R37" s="61"/>
    </row>
    <row r="38" spans="1:18" s="1" customFormat="1" ht="15">
      <c r="A38" s="1" t="s">
        <v>50</v>
      </c>
      <c r="B38" s="81">
        <v>6</v>
      </c>
      <c r="C38" s="81">
        <v>13</v>
      </c>
      <c r="D38" s="81">
        <v>100</v>
      </c>
      <c r="E38" s="82" t="s">
        <v>67</v>
      </c>
      <c r="F38" s="72">
        <v>0.5</v>
      </c>
      <c r="G38" s="72">
        <v>0.01</v>
      </c>
      <c r="H38" s="73">
        <v>1</v>
      </c>
      <c r="I38" s="74"/>
      <c r="J38" s="74"/>
      <c r="K38" s="72" t="e">
        <f t="shared" ref="K38:K88" si="10">($B$12)*($B$11)/($B$11-1)*(I38-J38)*(G38)/(F38)*(H38)</f>
        <v>#DIV/0!</v>
      </c>
      <c r="L38" s="72" t="e">
        <f t="shared" ref="L38:L88" si="11">($B$12)*($B$11)/($B$11-1)*(($B$11*J38)-I38)*(G38)/(F38)*(H38)</f>
        <v>#DIV/0!</v>
      </c>
      <c r="M38" s="75" t="e">
        <f t="shared" si="5"/>
        <v>#DIV/0!</v>
      </c>
      <c r="N38" s="5"/>
      <c r="O38" s="5"/>
      <c r="P38" s="5"/>
      <c r="Q38" s="61"/>
      <c r="R38" s="61"/>
    </row>
    <row r="39" spans="1:18" s="1" customFormat="1" ht="15">
      <c r="A39" s="1" t="s">
        <v>50</v>
      </c>
      <c r="B39" s="81">
        <v>6</v>
      </c>
      <c r="C39" s="81">
        <v>15</v>
      </c>
      <c r="D39" s="81">
        <v>80</v>
      </c>
      <c r="E39" s="82" t="s">
        <v>68</v>
      </c>
      <c r="F39" s="72">
        <v>0.5</v>
      </c>
      <c r="G39" s="72">
        <v>0.01</v>
      </c>
      <c r="H39" s="73">
        <v>1</v>
      </c>
      <c r="I39" s="74"/>
      <c r="J39" s="74"/>
      <c r="K39" s="72" t="e">
        <f t="shared" si="10"/>
        <v>#DIV/0!</v>
      </c>
      <c r="L39" s="72" t="e">
        <f t="shared" si="11"/>
        <v>#DIV/0!</v>
      </c>
      <c r="M39" s="75" t="e">
        <f t="shared" si="5"/>
        <v>#DIV/0!</v>
      </c>
      <c r="N39" s="5"/>
      <c r="O39" s="5"/>
      <c r="P39" s="5"/>
      <c r="Q39" s="61"/>
      <c r="R39" s="61"/>
    </row>
    <row r="40" spans="1:18" s="1" customFormat="1" ht="15">
      <c r="A40" s="1" t="s">
        <v>50</v>
      </c>
      <c r="B40" s="81">
        <v>6</v>
      </c>
      <c r="C40" s="81">
        <v>17</v>
      </c>
      <c r="D40" s="81">
        <v>60</v>
      </c>
      <c r="E40" s="82" t="s">
        <v>51</v>
      </c>
      <c r="F40" s="72">
        <v>0.5</v>
      </c>
      <c r="G40" s="72">
        <v>0.01</v>
      </c>
      <c r="H40" s="73">
        <v>1</v>
      </c>
      <c r="I40" s="74"/>
      <c r="J40" s="74"/>
      <c r="K40" s="72" t="e">
        <f t="shared" si="10"/>
        <v>#DIV/0!</v>
      </c>
      <c r="L40" s="72" t="e">
        <f t="shared" si="11"/>
        <v>#DIV/0!</v>
      </c>
      <c r="M40" s="75" t="e">
        <f t="shared" si="5"/>
        <v>#DIV/0!</v>
      </c>
      <c r="N40" s="5"/>
      <c r="O40" s="5"/>
      <c r="P40" s="5"/>
      <c r="Q40" s="61"/>
      <c r="R40" s="61"/>
    </row>
    <row r="41" spans="1:18" s="1" customFormat="1" ht="15">
      <c r="A41" s="1" t="s">
        <v>50</v>
      </c>
      <c r="B41" s="81">
        <v>6</v>
      </c>
      <c r="C41" s="81">
        <v>17</v>
      </c>
      <c r="D41" s="81">
        <v>60</v>
      </c>
      <c r="E41" s="82" t="s">
        <v>60</v>
      </c>
      <c r="F41" s="72">
        <v>0.5</v>
      </c>
      <c r="G41" s="72">
        <v>0.01</v>
      </c>
      <c r="H41" s="73">
        <v>1</v>
      </c>
      <c r="I41" s="74"/>
      <c r="J41" s="74"/>
      <c r="K41" s="72" t="e">
        <f t="shared" si="10"/>
        <v>#DIV/0!</v>
      </c>
      <c r="L41" s="72" t="e">
        <f t="shared" si="11"/>
        <v>#DIV/0!</v>
      </c>
      <c r="M41" s="75" t="e">
        <f t="shared" si="5"/>
        <v>#DIV/0!</v>
      </c>
      <c r="N41" s="5"/>
      <c r="O41" s="5"/>
      <c r="P41" s="5"/>
      <c r="Q41" s="61"/>
      <c r="R41" s="61"/>
    </row>
    <row r="42" spans="1:18" s="1" customFormat="1" ht="15">
      <c r="A42" s="1" t="s">
        <v>50</v>
      </c>
      <c r="B42" s="81">
        <v>6</v>
      </c>
      <c r="C42" s="81">
        <v>19</v>
      </c>
      <c r="D42" s="81">
        <v>40</v>
      </c>
      <c r="E42" s="82" t="s">
        <v>56</v>
      </c>
      <c r="F42" s="72">
        <v>0.5</v>
      </c>
      <c r="G42" s="72">
        <v>0.01</v>
      </c>
      <c r="H42" s="73">
        <v>1</v>
      </c>
      <c r="I42" s="74"/>
      <c r="J42" s="74"/>
      <c r="K42" s="72" t="e">
        <f t="shared" si="10"/>
        <v>#DIV/0!</v>
      </c>
      <c r="L42" s="72" t="e">
        <f t="shared" si="11"/>
        <v>#DIV/0!</v>
      </c>
      <c r="M42" s="75" t="e">
        <f t="shared" si="5"/>
        <v>#DIV/0!</v>
      </c>
      <c r="N42" s="5"/>
      <c r="O42" s="5"/>
      <c r="P42" s="5"/>
      <c r="Q42" s="61"/>
      <c r="R42" s="61"/>
    </row>
    <row r="43" spans="1:18" s="1" customFormat="1" ht="15">
      <c r="A43" s="1" t="s">
        <v>50</v>
      </c>
      <c r="B43" s="81">
        <v>6</v>
      </c>
      <c r="C43" s="81">
        <v>19</v>
      </c>
      <c r="D43" s="81">
        <v>40</v>
      </c>
      <c r="E43" s="82" t="s">
        <v>54</v>
      </c>
      <c r="F43" s="72">
        <v>0.5</v>
      </c>
      <c r="G43" s="72">
        <v>0.01</v>
      </c>
      <c r="H43" s="73">
        <v>1</v>
      </c>
      <c r="I43" s="74"/>
      <c r="J43" s="74"/>
      <c r="K43" s="72" t="e">
        <f t="shared" si="10"/>
        <v>#DIV/0!</v>
      </c>
      <c r="L43" s="72" t="e">
        <f t="shared" si="11"/>
        <v>#DIV/0!</v>
      </c>
      <c r="M43" s="75" t="e">
        <f t="shared" si="5"/>
        <v>#DIV/0!</v>
      </c>
      <c r="N43" s="5"/>
      <c r="O43" s="5"/>
      <c r="P43" s="5"/>
      <c r="Q43" s="61"/>
      <c r="R43" s="61"/>
    </row>
    <row r="44" spans="1:18" s="1" customFormat="1" ht="15">
      <c r="A44" s="1" t="s">
        <v>50</v>
      </c>
      <c r="B44" s="81">
        <v>6</v>
      </c>
      <c r="C44" s="81">
        <v>21</v>
      </c>
      <c r="D44" s="81">
        <v>20</v>
      </c>
      <c r="E44" s="82" t="s">
        <v>53</v>
      </c>
      <c r="F44" s="72">
        <v>0.5</v>
      </c>
      <c r="G44" s="72">
        <v>0.01</v>
      </c>
      <c r="H44" s="73">
        <v>1</v>
      </c>
      <c r="I44" s="74"/>
      <c r="J44" s="74"/>
      <c r="K44" s="72" t="e">
        <f t="shared" si="10"/>
        <v>#DIV/0!</v>
      </c>
      <c r="L44" s="72" t="e">
        <f t="shared" si="11"/>
        <v>#DIV/0!</v>
      </c>
      <c r="M44" s="75" t="e">
        <f t="shared" si="5"/>
        <v>#DIV/0!</v>
      </c>
      <c r="N44" s="5"/>
      <c r="O44" s="5"/>
      <c r="P44" s="5"/>
      <c r="Q44" s="61"/>
      <c r="R44" s="61"/>
    </row>
    <row r="45" spans="1:18" s="1" customFormat="1" ht="15">
      <c r="A45" s="1" t="s">
        <v>50</v>
      </c>
      <c r="B45" s="81">
        <v>6</v>
      </c>
      <c r="C45" s="81">
        <v>23</v>
      </c>
      <c r="D45" s="81">
        <v>10</v>
      </c>
      <c r="E45" s="82" t="s">
        <v>52</v>
      </c>
      <c r="F45" s="72">
        <v>0.5</v>
      </c>
      <c r="G45" s="72">
        <v>0.01</v>
      </c>
      <c r="H45" s="73">
        <v>1</v>
      </c>
      <c r="I45" s="74"/>
      <c r="J45" s="74"/>
      <c r="K45" s="72" t="e">
        <f t="shared" si="10"/>
        <v>#DIV/0!</v>
      </c>
      <c r="L45" s="72" t="e">
        <f t="shared" si="11"/>
        <v>#DIV/0!</v>
      </c>
      <c r="M45" s="75" t="e">
        <f t="shared" si="5"/>
        <v>#DIV/0!</v>
      </c>
      <c r="N45" s="5"/>
      <c r="O45" s="5"/>
      <c r="P45" s="5"/>
      <c r="Q45" s="61"/>
      <c r="R45" s="61"/>
    </row>
    <row r="46" spans="1:18" s="1" customFormat="1" ht="15">
      <c r="B46" s="85"/>
      <c r="C46" s="81"/>
      <c r="D46" s="81"/>
      <c r="E46" s="82"/>
      <c r="F46" s="72"/>
      <c r="G46" s="72"/>
      <c r="H46" s="73"/>
      <c r="I46" s="74"/>
      <c r="J46" s="74"/>
      <c r="K46" s="72"/>
      <c r="L46" s="72"/>
      <c r="M46" s="75"/>
      <c r="N46" s="5"/>
      <c r="O46" s="5"/>
      <c r="P46" s="5"/>
      <c r="Q46" s="61"/>
      <c r="R46" s="61"/>
    </row>
    <row r="47" spans="1:18" ht="15">
      <c r="A47" s="1" t="s">
        <v>50</v>
      </c>
      <c r="B47" s="81">
        <v>9</v>
      </c>
      <c r="C47" s="81">
        <v>5</v>
      </c>
      <c r="D47" s="81">
        <v>200</v>
      </c>
      <c r="E47" s="82" t="s">
        <v>65</v>
      </c>
      <c r="F47" s="72">
        <v>0.5</v>
      </c>
      <c r="G47" s="72">
        <v>0.01</v>
      </c>
      <c r="H47" s="73">
        <v>1</v>
      </c>
      <c r="I47" s="74"/>
      <c r="J47" s="74"/>
      <c r="K47" s="72" t="e">
        <f t="shared" si="10"/>
        <v>#DIV/0!</v>
      </c>
      <c r="L47" s="72" t="e">
        <f t="shared" si="11"/>
        <v>#DIV/0!</v>
      </c>
      <c r="M47" s="75" t="e">
        <f t="shared" si="5"/>
        <v>#DIV/0!</v>
      </c>
      <c r="N47" s="5"/>
      <c r="O47" s="5"/>
      <c r="P47" s="5"/>
      <c r="Q47" s="5"/>
      <c r="R47" s="5"/>
    </row>
    <row r="48" spans="1:18" ht="15">
      <c r="A48" s="1" t="s">
        <v>50</v>
      </c>
      <c r="B48" s="81">
        <v>9</v>
      </c>
      <c r="C48" s="81">
        <v>7</v>
      </c>
      <c r="D48" s="81">
        <v>180</v>
      </c>
      <c r="E48" s="82" t="s">
        <v>61</v>
      </c>
      <c r="F48" s="72">
        <v>0.5</v>
      </c>
      <c r="G48" s="72">
        <v>0.01</v>
      </c>
      <c r="H48" s="73">
        <v>1</v>
      </c>
      <c r="I48" s="74"/>
      <c r="J48" s="74"/>
      <c r="K48" s="72" t="e">
        <f t="shared" si="10"/>
        <v>#DIV/0!</v>
      </c>
      <c r="L48" s="72" t="e">
        <f t="shared" si="11"/>
        <v>#DIV/0!</v>
      </c>
      <c r="M48" s="75" t="e">
        <f t="shared" si="5"/>
        <v>#DIV/0!</v>
      </c>
      <c r="N48" s="5"/>
      <c r="O48" s="5"/>
      <c r="P48" s="5"/>
      <c r="Q48" s="5"/>
      <c r="R48" s="5"/>
    </row>
    <row r="49" spans="1:18" ht="15">
      <c r="A49" s="1" t="s">
        <v>50</v>
      </c>
      <c r="B49" s="81">
        <v>9</v>
      </c>
      <c r="C49" s="81">
        <v>9</v>
      </c>
      <c r="D49" s="81">
        <v>140</v>
      </c>
      <c r="E49" s="82" t="s">
        <v>62</v>
      </c>
      <c r="F49" s="72">
        <v>0.5</v>
      </c>
      <c r="G49" s="72">
        <v>0.01</v>
      </c>
      <c r="H49" s="73">
        <v>1</v>
      </c>
      <c r="I49" s="74"/>
      <c r="J49" s="74"/>
      <c r="K49" s="72" t="e">
        <f t="shared" si="10"/>
        <v>#DIV/0!</v>
      </c>
      <c r="L49" s="72" t="e">
        <f t="shared" si="11"/>
        <v>#DIV/0!</v>
      </c>
      <c r="M49" s="75" t="e">
        <f t="shared" si="5"/>
        <v>#DIV/0!</v>
      </c>
      <c r="N49" s="5"/>
      <c r="O49" s="5"/>
      <c r="P49" s="5"/>
      <c r="Q49" s="5"/>
      <c r="R49" s="5"/>
    </row>
    <row r="50" spans="1:18" ht="15">
      <c r="A50" s="1" t="s">
        <v>50</v>
      </c>
      <c r="B50" s="81">
        <v>9</v>
      </c>
      <c r="C50" s="81">
        <v>11</v>
      </c>
      <c r="D50" s="81">
        <v>120</v>
      </c>
      <c r="E50" s="82" t="s">
        <v>63</v>
      </c>
      <c r="F50" s="72">
        <v>0.5</v>
      </c>
      <c r="G50" s="72">
        <v>0.01</v>
      </c>
      <c r="H50" s="73">
        <v>1</v>
      </c>
      <c r="I50" s="74"/>
      <c r="J50" s="74"/>
      <c r="K50" s="72" t="e">
        <f t="shared" si="10"/>
        <v>#DIV/0!</v>
      </c>
      <c r="L50" s="72" t="e">
        <f t="shared" si="11"/>
        <v>#DIV/0!</v>
      </c>
      <c r="M50" s="75" t="e">
        <f t="shared" si="5"/>
        <v>#DIV/0!</v>
      </c>
      <c r="N50" s="5"/>
      <c r="O50" s="5"/>
      <c r="P50" s="5"/>
      <c r="Q50" s="5"/>
      <c r="R50" s="5"/>
    </row>
    <row r="51" spans="1:18" ht="15">
      <c r="A51" s="1" t="s">
        <v>50</v>
      </c>
      <c r="B51" s="81">
        <v>9</v>
      </c>
      <c r="C51" s="81">
        <v>13</v>
      </c>
      <c r="D51" s="81">
        <v>100</v>
      </c>
      <c r="E51" s="82" t="s">
        <v>64</v>
      </c>
      <c r="F51" s="72">
        <v>0.5</v>
      </c>
      <c r="G51" s="72">
        <v>0.01</v>
      </c>
      <c r="H51" s="73">
        <v>1</v>
      </c>
      <c r="I51" s="74"/>
      <c r="J51" s="74"/>
      <c r="K51" s="72" t="e">
        <f t="shared" si="10"/>
        <v>#DIV/0!</v>
      </c>
      <c r="L51" s="72" t="e">
        <f t="shared" si="11"/>
        <v>#DIV/0!</v>
      </c>
      <c r="M51" s="75" t="e">
        <f t="shared" si="5"/>
        <v>#DIV/0!</v>
      </c>
      <c r="N51" s="5"/>
      <c r="O51" s="5"/>
      <c r="P51" s="5"/>
      <c r="Q51" s="5"/>
      <c r="R51" s="5"/>
    </row>
    <row r="52" spans="1:18" ht="15">
      <c r="A52" s="1" t="s">
        <v>50</v>
      </c>
      <c r="B52" s="81">
        <v>9</v>
      </c>
      <c r="C52" s="81">
        <v>15</v>
      </c>
      <c r="D52" s="81">
        <v>80</v>
      </c>
      <c r="E52" s="82" t="s">
        <v>66</v>
      </c>
      <c r="F52" s="72">
        <v>0.5</v>
      </c>
      <c r="G52" s="72">
        <v>0.01</v>
      </c>
      <c r="H52" s="73">
        <v>1</v>
      </c>
      <c r="I52" s="74"/>
      <c r="J52" s="74"/>
      <c r="K52" s="72" t="e">
        <f t="shared" si="10"/>
        <v>#DIV/0!</v>
      </c>
      <c r="L52" s="72" t="e">
        <f t="shared" si="11"/>
        <v>#DIV/0!</v>
      </c>
      <c r="M52" s="75" t="e">
        <f t="shared" si="5"/>
        <v>#DIV/0!</v>
      </c>
      <c r="N52" s="5"/>
      <c r="O52" s="5"/>
      <c r="P52" s="5"/>
      <c r="Q52" s="5"/>
      <c r="R52" s="5"/>
    </row>
    <row r="53" spans="1:18" ht="15">
      <c r="A53" s="1" t="s">
        <v>50</v>
      </c>
      <c r="B53" s="81">
        <v>9</v>
      </c>
      <c r="C53" s="81">
        <v>17</v>
      </c>
      <c r="D53" s="81">
        <v>60</v>
      </c>
      <c r="E53" s="82" t="s">
        <v>67</v>
      </c>
      <c r="F53" s="72">
        <v>0.5</v>
      </c>
      <c r="G53" s="72">
        <v>0.01</v>
      </c>
      <c r="H53" s="73">
        <v>1</v>
      </c>
      <c r="I53" s="74"/>
      <c r="J53" s="74"/>
      <c r="K53" s="72" t="e">
        <f t="shared" si="10"/>
        <v>#DIV/0!</v>
      </c>
      <c r="L53" s="72" t="e">
        <f t="shared" si="11"/>
        <v>#DIV/0!</v>
      </c>
      <c r="M53" s="75" t="e">
        <f t="shared" si="5"/>
        <v>#DIV/0!</v>
      </c>
      <c r="N53" s="5"/>
      <c r="O53" s="5"/>
      <c r="P53" s="5"/>
      <c r="Q53" s="5"/>
      <c r="R53" s="5"/>
    </row>
    <row r="54" spans="1:18" ht="15">
      <c r="A54" s="1" t="s">
        <v>50</v>
      </c>
      <c r="B54" s="81">
        <v>9</v>
      </c>
      <c r="C54" s="81">
        <v>17</v>
      </c>
      <c r="D54" s="81">
        <v>60</v>
      </c>
      <c r="E54" s="82" t="s">
        <v>68</v>
      </c>
      <c r="F54" s="72">
        <v>0.5</v>
      </c>
      <c r="G54" s="72">
        <v>0.01</v>
      </c>
      <c r="H54" s="73">
        <v>1</v>
      </c>
      <c r="I54" s="74"/>
      <c r="J54" s="74"/>
      <c r="K54" s="72" t="e">
        <f t="shared" si="10"/>
        <v>#DIV/0!</v>
      </c>
      <c r="L54" s="72" t="e">
        <f t="shared" si="11"/>
        <v>#DIV/0!</v>
      </c>
      <c r="M54" s="75" t="e">
        <f t="shared" si="5"/>
        <v>#DIV/0!</v>
      </c>
      <c r="N54" s="5"/>
      <c r="O54" s="5"/>
      <c r="P54" s="5"/>
      <c r="Q54" s="5"/>
      <c r="R54" s="5"/>
    </row>
    <row r="55" spans="1:18" ht="15">
      <c r="A55" s="1" t="s">
        <v>50</v>
      </c>
      <c r="B55" s="81">
        <v>9</v>
      </c>
      <c r="C55" s="81">
        <v>19</v>
      </c>
      <c r="D55" s="81">
        <v>40</v>
      </c>
      <c r="E55" s="82" t="s">
        <v>55</v>
      </c>
      <c r="F55" s="72">
        <v>0.5</v>
      </c>
      <c r="G55" s="72">
        <v>0.01</v>
      </c>
      <c r="H55" s="73">
        <v>1</v>
      </c>
      <c r="I55" s="74"/>
      <c r="J55" s="74"/>
      <c r="K55" s="72" t="e">
        <f t="shared" si="10"/>
        <v>#DIV/0!</v>
      </c>
      <c r="L55" s="72" t="e">
        <f t="shared" si="11"/>
        <v>#DIV/0!</v>
      </c>
      <c r="M55" s="75" t="e">
        <f t="shared" si="5"/>
        <v>#DIV/0!</v>
      </c>
      <c r="N55" s="5"/>
      <c r="O55" s="5"/>
      <c r="P55" s="5"/>
      <c r="Q55" s="5"/>
      <c r="R55" s="5"/>
    </row>
    <row r="56" spans="1:18" ht="15">
      <c r="A56" s="1" t="s">
        <v>50</v>
      </c>
      <c r="B56" s="81">
        <v>9</v>
      </c>
      <c r="C56" s="81">
        <v>19</v>
      </c>
      <c r="D56" s="81">
        <v>40</v>
      </c>
      <c r="E56" s="82" t="s">
        <v>57</v>
      </c>
      <c r="F56" s="72">
        <v>0.5</v>
      </c>
      <c r="G56" s="72">
        <v>0.01</v>
      </c>
      <c r="H56" s="73">
        <v>1</v>
      </c>
      <c r="I56" s="74"/>
      <c r="J56" s="74"/>
      <c r="K56" s="72" t="e">
        <f t="shared" si="10"/>
        <v>#DIV/0!</v>
      </c>
      <c r="L56" s="72" t="e">
        <f t="shared" si="11"/>
        <v>#DIV/0!</v>
      </c>
      <c r="M56" s="75" t="e">
        <f t="shared" si="5"/>
        <v>#DIV/0!</v>
      </c>
      <c r="N56" s="5"/>
      <c r="O56" s="5"/>
      <c r="P56" s="5"/>
      <c r="Q56" s="5"/>
      <c r="R56" s="5"/>
    </row>
    <row r="57" spans="1:18" ht="15">
      <c r="A57" s="1" t="s">
        <v>50</v>
      </c>
      <c r="B57" s="81">
        <v>9</v>
      </c>
      <c r="C57" s="81">
        <v>21</v>
      </c>
      <c r="D57" s="81">
        <v>20</v>
      </c>
      <c r="E57" s="82" t="s">
        <v>60</v>
      </c>
      <c r="F57" s="72">
        <v>0.5</v>
      </c>
      <c r="G57" s="72">
        <v>0.01</v>
      </c>
      <c r="H57" s="73">
        <v>1</v>
      </c>
      <c r="I57" s="74"/>
      <c r="J57" s="74"/>
      <c r="K57" s="72" t="e">
        <f t="shared" si="10"/>
        <v>#DIV/0!</v>
      </c>
      <c r="L57" s="72" t="e">
        <f t="shared" si="11"/>
        <v>#DIV/0!</v>
      </c>
      <c r="M57" s="75" t="e">
        <f t="shared" si="5"/>
        <v>#DIV/0!</v>
      </c>
      <c r="N57" s="5"/>
      <c r="O57" s="5"/>
      <c r="P57" s="5"/>
      <c r="Q57" s="5"/>
      <c r="R57" s="5"/>
    </row>
    <row r="58" spans="1:18" ht="15">
      <c r="A58" s="1" t="s">
        <v>50</v>
      </c>
      <c r="B58" s="81">
        <v>9</v>
      </c>
      <c r="C58" s="81">
        <v>23</v>
      </c>
      <c r="D58" s="81">
        <v>10</v>
      </c>
      <c r="E58" s="82" t="s">
        <v>56</v>
      </c>
      <c r="F58" s="72">
        <v>0.5</v>
      </c>
      <c r="G58" s="72">
        <v>0.01</v>
      </c>
      <c r="H58" s="73">
        <v>1</v>
      </c>
      <c r="I58" s="74"/>
      <c r="J58" s="74"/>
      <c r="K58" s="72" t="e">
        <f t="shared" si="10"/>
        <v>#DIV/0!</v>
      </c>
      <c r="L58" s="72" t="e">
        <f t="shared" si="11"/>
        <v>#DIV/0!</v>
      </c>
      <c r="M58" s="75" t="e">
        <f t="shared" si="5"/>
        <v>#DIV/0!</v>
      </c>
      <c r="N58" s="5"/>
      <c r="O58" s="5"/>
      <c r="P58" s="5"/>
      <c r="Q58" s="5"/>
      <c r="R58" s="5"/>
    </row>
    <row r="59" spans="1:18" ht="15">
      <c r="B59" s="83"/>
      <c r="C59" s="84"/>
      <c r="D59" s="84"/>
      <c r="E59" s="82"/>
      <c r="F59" s="72"/>
      <c r="G59" s="72"/>
      <c r="H59" s="73"/>
      <c r="I59" s="74"/>
      <c r="J59" s="74"/>
      <c r="K59" s="72"/>
      <c r="L59" s="72"/>
      <c r="M59" s="75"/>
      <c r="N59" s="5"/>
      <c r="O59" s="5"/>
      <c r="P59" s="5"/>
      <c r="Q59" s="5"/>
      <c r="R59" s="5"/>
    </row>
    <row r="60" spans="1:18" ht="15">
      <c r="A60" s="1" t="s">
        <v>50</v>
      </c>
      <c r="B60" s="81">
        <v>12</v>
      </c>
      <c r="C60" s="81">
        <v>1</v>
      </c>
      <c r="D60" s="81">
        <v>220</v>
      </c>
      <c r="E60" s="82" t="s">
        <v>52</v>
      </c>
      <c r="F60" s="72">
        <v>0.5</v>
      </c>
      <c r="G60" s="72">
        <v>0.01</v>
      </c>
      <c r="H60" s="73">
        <v>1</v>
      </c>
      <c r="I60" s="74"/>
      <c r="J60" s="74"/>
      <c r="K60" s="72" t="e">
        <f t="shared" si="10"/>
        <v>#DIV/0!</v>
      </c>
      <c r="L60" s="72" t="e">
        <f t="shared" si="11"/>
        <v>#DIV/0!</v>
      </c>
      <c r="M60" s="75" t="e">
        <f t="shared" si="5"/>
        <v>#DIV/0!</v>
      </c>
      <c r="N60" s="5"/>
      <c r="O60" s="5"/>
      <c r="P60" s="5"/>
      <c r="Q60" s="5"/>
      <c r="R60" s="5"/>
    </row>
    <row r="61" spans="1:18" ht="15">
      <c r="A61" s="1" t="s">
        <v>50</v>
      </c>
      <c r="B61" s="81">
        <v>12</v>
      </c>
      <c r="C61" s="81">
        <v>3</v>
      </c>
      <c r="D61" s="81">
        <v>200</v>
      </c>
      <c r="E61" s="82" t="s">
        <v>68</v>
      </c>
      <c r="F61" s="72">
        <v>0.5</v>
      </c>
      <c r="G61" s="72">
        <v>0.01</v>
      </c>
      <c r="H61" s="73">
        <v>1</v>
      </c>
      <c r="I61" s="74"/>
      <c r="J61" s="74"/>
      <c r="K61" s="72" t="e">
        <f t="shared" si="10"/>
        <v>#DIV/0!</v>
      </c>
      <c r="L61" s="72" t="e">
        <f t="shared" si="11"/>
        <v>#DIV/0!</v>
      </c>
      <c r="M61" s="75" t="e">
        <f t="shared" si="5"/>
        <v>#DIV/0!</v>
      </c>
      <c r="N61" s="5"/>
      <c r="O61" s="5"/>
      <c r="P61" s="5"/>
      <c r="Q61" s="5"/>
      <c r="R61" s="5"/>
    </row>
    <row r="62" spans="1:18" ht="15">
      <c r="A62" s="1" t="s">
        <v>50</v>
      </c>
      <c r="B62" s="81">
        <v>12</v>
      </c>
      <c r="C62" s="81">
        <v>5</v>
      </c>
      <c r="D62" s="81">
        <v>180</v>
      </c>
      <c r="E62" s="82" t="s">
        <v>62</v>
      </c>
      <c r="F62" s="72">
        <v>0.5</v>
      </c>
      <c r="G62" s="72">
        <v>0.01</v>
      </c>
      <c r="H62" s="73">
        <v>1</v>
      </c>
      <c r="I62" s="74"/>
      <c r="J62" s="74"/>
      <c r="K62" s="72" t="e">
        <f t="shared" si="10"/>
        <v>#DIV/0!</v>
      </c>
      <c r="L62" s="72" t="e">
        <f t="shared" si="11"/>
        <v>#DIV/0!</v>
      </c>
      <c r="M62" s="75" t="e">
        <f t="shared" si="5"/>
        <v>#DIV/0!</v>
      </c>
      <c r="N62" s="5"/>
      <c r="O62" s="5"/>
      <c r="P62" s="5"/>
      <c r="Q62" s="5"/>
      <c r="R62" s="5"/>
    </row>
    <row r="63" spans="1:18" ht="15">
      <c r="A63" s="1" t="s">
        <v>50</v>
      </c>
      <c r="B63" s="81">
        <v>12</v>
      </c>
      <c r="C63" s="81">
        <v>7</v>
      </c>
      <c r="D63" s="81">
        <v>160</v>
      </c>
      <c r="E63" s="82" t="s">
        <v>57</v>
      </c>
      <c r="F63" s="72">
        <v>0.5</v>
      </c>
      <c r="G63" s="72">
        <v>0.01</v>
      </c>
      <c r="H63" s="73">
        <v>1</v>
      </c>
      <c r="I63" s="74"/>
      <c r="J63" s="74"/>
      <c r="K63" s="72" t="e">
        <f t="shared" si="10"/>
        <v>#DIV/0!</v>
      </c>
      <c r="L63" s="72" t="e">
        <f t="shared" si="11"/>
        <v>#DIV/0!</v>
      </c>
      <c r="M63" s="75" t="e">
        <f t="shared" si="5"/>
        <v>#DIV/0!</v>
      </c>
      <c r="N63" s="5"/>
      <c r="O63" s="5"/>
      <c r="P63" s="5"/>
      <c r="Q63" s="5"/>
      <c r="R63" s="5"/>
    </row>
    <row r="64" spans="1:18" ht="15">
      <c r="A64" s="1" t="s">
        <v>50</v>
      </c>
      <c r="B64" s="81">
        <v>12</v>
      </c>
      <c r="C64" s="81">
        <v>9</v>
      </c>
      <c r="D64" s="81">
        <v>140</v>
      </c>
      <c r="E64" s="82" t="s">
        <v>64</v>
      </c>
      <c r="F64" s="72">
        <v>0.5</v>
      </c>
      <c r="G64" s="72">
        <v>0.01</v>
      </c>
      <c r="H64" s="73">
        <v>1</v>
      </c>
      <c r="I64" s="74"/>
      <c r="J64" s="74"/>
      <c r="K64" s="72" t="e">
        <f t="shared" si="10"/>
        <v>#DIV/0!</v>
      </c>
      <c r="L64" s="72" t="e">
        <f t="shared" si="11"/>
        <v>#DIV/0!</v>
      </c>
      <c r="M64" s="75" t="e">
        <f t="shared" si="5"/>
        <v>#DIV/0!</v>
      </c>
      <c r="N64" s="5"/>
      <c r="O64" s="5"/>
      <c r="P64" s="5"/>
      <c r="Q64" s="5"/>
      <c r="R64" s="5"/>
    </row>
    <row r="65" spans="1:18" ht="15">
      <c r="A65" s="1" t="s">
        <v>50</v>
      </c>
      <c r="B65" s="81">
        <v>12</v>
      </c>
      <c r="C65" s="81">
        <v>11</v>
      </c>
      <c r="D65" s="81">
        <v>120</v>
      </c>
      <c r="E65" s="82" t="s">
        <v>56</v>
      </c>
      <c r="F65" s="72">
        <v>0.5</v>
      </c>
      <c r="G65" s="72">
        <v>0.01</v>
      </c>
      <c r="H65" s="73">
        <v>1</v>
      </c>
      <c r="I65" s="74"/>
      <c r="J65" s="74"/>
      <c r="K65" s="72" t="e">
        <f t="shared" si="10"/>
        <v>#DIV/0!</v>
      </c>
      <c r="L65" s="72" t="e">
        <f t="shared" si="11"/>
        <v>#DIV/0!</v>
      </c>
      <c r="M65" s="75" t="e">
        <f t="shared" si="5"/>
        <v>#DIV/0!</v>
      </c>
      <c r="N65" s="5"/>
      <c r="O65" s="5"/>
      <c r="P65" s="5"/>
      <c r="Q65" s="5"/>
      <c r="R65" s="5"/>
    </row>
    <row r="66" spans="1:18" ht="15">
      <c r="A66" s="1" t="s">
        <v>50</v>
      </c>
      <c r="B66" s="81">
        <v>12</v>
      </c>
      <c r="C66" s="81">
        <v>13</v>
      </c>
      <c r="D66" s="81">
        <v>100</v>
      </c>
      <c r="E66" s="82" t="s">
        <v>61</v>
      </c>
      <c r="F66" s="72">
        <v>0.5</v>
      </c>
      <c r="G66" s="72">
        <v>0.01</v>
      </c>
      <c r="H66" s="73">
        <v>1</v>
      </c>
      <c r="I66" s="74"/>
      <c r="J66" s="74"/>
      <c r="K66" s="72" t="e">
        <f t="shared" si="10"/>
        <v>#DIV/0!</v>
      </c>
      <c r="L66" s="72" t="e">
        <f t="shared" si="11"/>
        <v>#DIV/0!</v>
      </c>
      <c r="M66" s="75" t="e">
        <f t="shared" si="5"/>
        <v>#DIV/0!</v>
      </c>
      <c r="N66" s="5"/>
      <c r="O66" s="5"/>
      <c r="P66" s="5"/>
      <c r="Q66" s="5"/>
      <c r="R66" s="5"/>
    </row>
    <row r="67" spans="1:18" ht="15">
      <c r="A67" s="1" t="s">
        <v>50</v>
      </c>
      <c r="B67" s="81">
        <v>12</v>
      </c>
      <c r="C67" s="81">
        <v>15</v>
      </c>
      <c r="D67" s="81">
        <v>80</v>
      </c>
      <c r="E67" s="82" t="s">
        <v>63</v>
      </c>
      <c r="F67" s="72">
        <v>0.5</v>
      </c>
      <c r="G67" s="72">
        <v>0.01</v>
      </c>
      <c r="H67" s="73">
        <v>1</v>
      </c>
      <c r="I67" s="74"/>
      <c r="J67" s="74"/>
      <c r="K67" s="72" t="e">
        <f t="shared" si="10"/>
        <v>#DIV/0!</v>
      </c>
      <c r="L67" s="72" t="e">
        <f t="shared" si="11"/>
        <v>#DIV/0!</v>
      </c>
      <c r="M67" s="75" t="e">
        <f t="shared" si="5"/>
        <v>#DIV/0!</v>
      </c>
      <c r="N67" s="5"/>
      <c r="O67" s="5"/>
      <c r="P67" s="5"/>
      <c r="Q67" s="5"/>
      <c r="R67" s="5"/>
    </row>
    <row r="68" spans="1:18" ht="15">
      <c r="A68" s="1" t="s">
        <v>50</v>
      </c>
      <c r="B68" s="81">
        <v>12</v>
      </c>
      <c r="C68" s="81">
        <v>17</v>
      </c>
      <c r="D68" s="81">
        <v>60</v>
      </c>
      <c r="E68" s="82" t="s">
        <v>67</v>
      </c>
      <c r="F68" s="72">
        <v>0.5</v>
      </c>
      <c r="G68" s="72">
        <v>0.01</v>
      </c>
      <c r="H68" s="73">
        <v>1</v>
      </c>
      <c r="I68" s="74"/>
      <c r="J68" s="74"/>
      <c r="K68" s="72" t="e">
        <f t="shared" si="10"/>
        <v>#DIV/0!</v>
      </c>
      <c r="L68" s="72" t="e">
        <f t="shared" si="11"/>
        <v>#DIV/0!</v>
      </c>
      <c r="M68" s="75" t="e">
        <f t="shared" si="5"/>
        <v>#DIV/0!</v>
      </c>
      <c r="N68" s="5"/>
      <c r="O68" s="5"/>
      <c r="P68" s="5"/>
      <c r="Q68" s="5"/>
      <c r="R68" s="5"/>
    </row>
    <row r="69" spans="1:18" ht="15">
      <c r="A69" s="1" t="s">
        <v>50</v>
      </c>
      <c r="B69" s="81">
        <v>12</v>
      </c>
      <c r="C69" s="81">
        <v>17</v>
      </c>
      <c r="D69" s="81">
        <v>60</v>
      </c>
      <c r="E69" s="82" t="s">
        <v>55</v>
      </c>
      <c r="F69" s="72">
        <v>0.5</v>
      </c>
      <c r="G69" s="72">
        <v>0.01</v>
      </c>
      <c r="H69" s="73">
        <v>1</v>
      </c>
      <c r="I69" s="74"/>
      <c r="J69" s="74"/>
      <c r="K69" s="72" t="e">
        <f t="shared" si="10"/>
        <v>#DIV/0!</v>
      </c>
      <c r="L69" s="72" t="e">
        <f t="shared" si="11"/>
        <v>#DIV/0!</v>
      </c>
      <c r="M69" s="75" t="e">
        <f t="shared" si="5"/>
        <v>#DIV/0!</v>
      </c>
      <c r="N69" s="5"/>
      <c r="O69" s="5"/>
      <c r="P69" s="5"/>
      <c r="Q69" s="5"/>
      <c r="R69" s="5"/>
    </row>
    <row r="70" spans="1:18" ht="15">
      <c r="A70" s="1" t="s">
        <v>50</v>
      </c>
      <c r="B70" s="81">
        <v>12</v>
      </c>
      <c r="C70" s="81">
        <v>19</v>
      </c>
      <c r="D70" s="81">
        <v>40</v>
      </c>
      <c r="E70" s="82" t="s">
        <v>65</v>
      </c>
      <c r="F70" s="72">
        <v>0.5</v>
      </c>
      <c r="G70" s="72">
        <v>0.01</v>
      </c>
      <c r="H70" s="73">
        <v>1</v>
      </c>
      <c r="I70" s="74"/>
      <c r="J70" s="74"/>
      <c r="K70" s="72" t="e">
        <f t="shared" si="10"/>
        <v>#DIV/0!</v>
      </c>
      <c r="L70" s="72" t="e">
        <f t="shared" si="11"/>
        <v>#DIV/0!</v>
      </c>
      <c r="M70" s="75" t="e">
        <f t="shared" si="5"/>
        <v>#DIV/0!</v>
      </c>
      <c r="N70" s="5"/>
      <c r="O70" s="5"/>
      <c r="P70" s="5"/>
      <c r="Q70" s="5"/>
      <c r="R70" s="5"/>
    </row>
    <row r="71" spans="1:18" ht="15">
      <c r="A71" s="1" t="s">
        <v>50</v>
      </c>
      <c r="B71" s="81">
        <v>12</v>
      </c>
      <c r="C71" s="81">
        <v>21</v>
      </c>
      <c r="D71" s="81">
        <v>20</v>
      </c>
      <c r="E71" s="82" t="s">
        <v>53</v>
      </c>
      <c r="F71" s="72">
        <v>0.5</v>
      </c>
      <c r="G71" s="72">
        <v>0.01</v>
      </c>
      <c r="H71" s="73">
        <v>1</v>
      </c>
      <c r="I71" s="74"/>
      <c r="J71" s="74"/>
      <c r="K71" s="72" t="e">
        <f t="shared" si="10"/>
        <v>#DIV/0!</v>
      </c>
      <c r="L71" s="72" t="e">
        <f t="shared" si="11"/>
        <v>#DIV/0!</v>
      </c>
      <c r="M71" s="75" t="e">
        <f t="shared" si="5"/>
        <v>#DIV/0!</v>
      </c>
      <c r="N71" s="5"/>
      <c r="O71" s="5"/>
      <c r="P71" s="5"/>
      <c r="Q71" s="5"/>
      <c r="R71" s="5"/>
    </row>
    <row r="72" spans="1:18" ht="15">
      <c r="A72" s="1" t="s">
        <v>50</v>
      </c>
      <c r="B72" s="81">
        <v>12</v>
      </c>
      <c r="C72" s="81">
        <v>23</v>
      </c>
      <c r="D72" s="81">
        <v>10</v>
      </c>
      <c r="E72" s="82" t="s">
        <v>60</v>
      </c>
      <c r="F72" s="72">
        <v>0.5</v>
      </c>
      <c r="G72" s="72">
        <v>0.01</v>
      </c>
      <c r="H72" s="73">
        <v>1</v>
      </c>
      <c r="I72" s="74"/>
      <c r="J72" s="74"/>
      <c r="K72" s="72" t="e">
        <f t="shared" si="10"/>
        <v>#DIV/0!</v>
      </c>
      <c r="L72" s="72" t="e">
        <f t="shared" si="11"/>
        <v>#DIV/0!</v>
      </c>
      <c r="M72" s="75" t="e">
        <f t="shared" si="5"/>
        <v>#DIV/0!</v>
      </c>
      <c r="N72" s="5"/>
      <c r="O72" s="5"/>
      <c r="P72" s="5"/>
      <c r="Q72" s="5"/>
      <c r="R72" s="5"/>
    </row>
    <row r="73" spans="1:18" ht="15">
      <c r="B73" s="83"/>
      <c r="C73" s="84"/>
      <c r="D73" s="84"/>
      <c r="E73" s="82"/>
      <c r="F73" s="72"/>
      <c r="G73" s="72"/>
      <c r="H73" s="73"/>
      <c r="I73" s="74"/>
      <c r="J73" s="74"/>
      <c r="K73" s="72"/>
      <c r="L73" s="72"/>
      <c r="M73" s="75"/>
      <c r="N73" s="5"/>
      <c r="O73" s="5"/>
      <c r="P73" s="5"/>
      <c r="Q73" s="5"/>
      <c r="R73" s="5"/>
    </row>
    <row r="74" spans="1:18" ht="15">
      <c r="A74" s="1" t="s">
        <v>50</v>
      </c>
      <c r="B74" s="81">
        <v>14</v>
      </c>
      <c r="C74" s="81">
        <v>3</v>
      </c>
      <c r="D74" s="81">
        <v>540</v>
      </c>
      <c r="E74" s="82" t="s">
        <v>65</v>
      </c>
      <c r="F74" s="72">
        <v>0.5</v>
      </c>
      <c r="G74" s="72">
        <v>0.01</v>
      </c>
      <c r="H74" s="73">
        <v>1</v>
      </c>
      <c r="I74" s="74"/>
      <c r="J74" s="74"/>
      <c r="K74" s="72" t="e">
        <f t="shared" si="10"/>
        <v>#DIV/0!</v>
      </c>
      <c r="L74" s="72" t="e">
        <f t="shared" si="11"/>
        <v>#DIV/0!</v>
      </c>
      <c r="M74" s="75" t="e">
        <f t="shared" si="5"/>
        <v>#DIV/0!</v>
      </c>
      <c r="N74" s="5"/>
      <c r="O74" s="5"/>
      <c r="P74" s="5"/>
      <c r="Q74" s="5"/>
      <c r="R74" s="5"/>
    </row>
    <row r="75" spans="1:18" ht="15">
      <c r="A75" s="1" t="s">
        <v>50</v>
      </c>
      <c r="B75" s="81">
        <v>14</v>
      </c>
      <c r="C75" s="81">
        <v>5</v>
      </c>
      <c r="D75" s="81">
        <v>400</v>
      </c>
      <c r="E75" s="82" t="s">
        <v>61</v>
      </c>
      <c r="F75" s="72">
        <v>0.5</v>
      </c>
      <c r="G75" s="72">
        <v>0.01</v>
      </c>
      <c r="H75" s="73">
        <v>1</v>
      </c>
      <c r="I75" s="74"/>
      <c r="J75" s="74"/>
      <c r="K75" s="72" t="e">
        <f t="shared" si="10"/>
        <v>#DIV/0!</v>
      </c>
      <c r="L75" s="72" t="e">
        <f t="shared" si="11"/>
        <v>#DIV/0!</v>
      </c>
      <c r="M75" s="75" t="e">
        <f t="shared" si="5"/>
        <v>#DIV/0!</v>
      </c>
      <c r="N75" s="5"/>
      <c r="O75" s="5"/>
      <c r="P75" s="5"/>
      <c r="Q75" s="5"/>
      <c r="R75" s="5"/>
    </row>
    <row r="76" spans="1:18" ht="15">
      <c r="A76" s="1" t="s">
        <v>50</v>
      </c>
      <c r="B76" s="81">
        <v>14</v>
      </c>
      <c r="C76" s="81">
        <v>11</v>
      </c>
      <c r="D76" s="81">
        <v>200</v>
      </c>
      <c r="E76" s="82" t="s">
        <v>62</v>
      </c>
      <c r="F76" s="72">
        <v>0.5</v>
      </c>
      <c r="G76" s="72">
        <v>0.01</v>
      </c>
      <c r="H76" s="73">
        <v>1</v>
      </c>
      <c r="I76" s="74"/>
      <c r="J76" s="74"/>
      <c r="K76" s="72" t="e">
        <f t="shared" si="10"/>
        <v>#DIV/0!</v>
      </c>
      <c r="L76" s="72" t="e">
        <f t="shared" si="11"/>
        <v>#DIV/0!</v>
      </c>
      <c r="M76" s="75" t="e">
        <f t="shared" si="5"/>
        <v>#DIV/0!</v>
      </c>
      <c r="N76" s="5"/>
      <c r="O76" s="5"/>
      <c r="P76" s="5"/>
      <c r="Q76" s="5"/>
      <c r="R76" s="5"/>
    </row>
    <row r="77" spans="1:18" ht="15">
      <c r="A77" s="1" t="s">
        <v>50</v>
      </c>
      <c r="B77" s="81">
        <v>14</v>
      </c>
      <c r="C77" s="81">
        <v>17</v>
      </c>
      <c r="D77" s="81">
        <v>20</v>
      </c>
      <c r="E77" s="82" t="s">
        <v>63</v>
      </c>
      <c r="F77" s="72">
        <v>0.5</v>
      </c>
      <c r="G77" s="72">
        <v>0.01</v>
      </c>
      <c r="H77" s="73">
        <v>1</v>
      </c>
      <c r="I77" s="74"/>
      <c r="J77" s="74"/>
      <c r="K77" s="72" t="e">
        <f t="shared" si="10"/>
        <v>#DIV/0!</v>
      </c>
      <c r="L77" s="72" t="e">
        <f t="shared" si="11"/>
        <v>#DIV/0!</v>
      </c>
      <c r="M77" s="75" t="e">
        <f t="shared" si="5"/>
        <v>#DIV/0!</v>
      </c>
      <c r="N77" s="5"/>
      <c r="O77" s="5"/>
      <c r="P77" s="5"/>
      <c r="Q77" s="5"/>
      <c r="R77" s="5"/>
    </row>
    <row r="78" spans="1:18" ht="15">
      <c r="A78" s="1" t="s">
        <v>50</v>
      </c>
      <c r="B78" s="81">
        <v>14</v>
      </c>
      <c r="C78" s="81">
        <v>19</v>
      </c>
      <c r="D78" s="81">
        <v>10</v>
      </c>
      <c r="E78" s="82" t="s">
        <v>64</v>
      </c>
      <c r="F78" s="72">
        <v>0.5</v>
      </c>
      <c r="G78" s="72">
        <v>0.01</v>
      </c>
      <c r="H78" s="73">
        <v>1</v>
      </c>
      <c r="I78" s="74"/>
      <c r="J78" s="74"/>
      <c r="K78" s="72" t="e">
        <f t="shared" si="10"/>
        <v>#DIV/0!</v>
      </c>
      <c r="L78" s="72" t="e">
        <f t="shared" si="11"/>
        <v>#DIV/0!</v>
      </c>
      <c r="M78" s="75" t="e">
        <f t="shared" si="5"/>
        <v>#DIV/0!</v>
      </c>
      <c r="N78" s="5"/>
      <c r="O78" s="5"/>
      <c r="P78" s="5"/>
      <c r="Q78" s="5"/>
      <c r="R78" s="5"/>
    </row>
    <row r="79" spans="1:18" ht="15">
      <c r="B79" s="83"/>
      <c r="C79" s="84"/>
      <c r="D79" s="84"/>
      <c r="E79" s="82"/>
      <c r="F79" s="72"/>
      <c r="G79" s="72"/>
      <c r="H79" s="73"/>
      <c r="I79" s="74"/>
      <c r="J79" s="74"/>
      <c r="K79" s="72"/>
      <c r="L79" s="72"/>
      <c r="M79" s="75"/>
      <c r="N79" s="5"/>
      <c r="O79" s="5"/>
      <c r="P79" s="5"/>
      <c r="Q79" s="5"/>
      <c r="R79" s="5"/>
    </row>
    <row r="80" spans="1:18" ht="15">
      <c r="A80" s="1" t="s">
        <v>50</v>
      </c>
      <c r="B80" s="84" t="s">
        <v>69</v>
      </c>
      <c r="C80" s="84" t="s">
        <v>70</v>
      </c>
      <c r="D80" s="84" t="s">
        <v>71</v>
      </c>
      <c r="E80" s="82" t="s">
        <v>55</v>
      </c>
      <c r="F80" s="72">
        <v>0.5</v>
      </c>
      <c r="G80" s="72">
        <v>0.01</v>
      </c>
      <c r="H80" s="73">
        <v>1</v>
      </c>
      <c r="I80" s="74"/>
      <c r="J80" s="74"/>
      <c r="K80" s="72" t="e">
        <f t="shared" si="10"/>
        <v>#DIV/0!</v>
      </c>
      <c r="L80" s="72" t="e">
        <f t="shared" si="11"/>
        <v>#DIV/0!</v>
      </c>
      <c r="M80" s="75" t="e">
        <f t="shared" si="5"/>
        <v>#DIV/0!</v>
      </c>
      <c r="N80" s="5"/>
      <c r="O80" s="5"/>
      <c r="P80" s="5"/>
      <c r="Q80" s="5"/>
      <c r="R80" s="5"/>
    </row>
    <row r="81" spans="1:18" ht="15">
      <c r="A81" s="1" t="s">
        <v>50</v>
      </c>
      <c r="B81" s="84" t="s">
        <v>69</v>
      </c>
      <c r="C81" s="84" t="s">
        <v>70</v>
      </c>
      <c r="D81" s="84" t="s">
        <v>71</v>
      </c>
      <c r="E81" s="82" t="s">
        <v>57</v>
      </c>
      <c r="F81" s="72">
        <v>0.5</v>
      </c>
      <c r="G81" s="72">
        <v>0.01</v>
      </c>
      <c r="H81" s="73">
        <v>1</v>
      </c>
      <c r="I81" s="74"/>
      <c r="J81" s="74"/>
      <c r="K81" s="72" t="e">
        <f t="shared" si="10"/>
        <v>#DIV/0!</v>
      </c>
      <c r="L81" s="72" t="e">
        <f t="shared" si="11"/>
        <v>#DIV/0!</v>
      </c>
      <c r="M81" s="75" t="e">
        <f t="shared" ref="M81:M88" si="12">$I81/$J81</f>
        <v>#DIV/0!</v>
      </c>
      <c r="N81" s="5"/>
      <c r="O81" s="5"/>
      <c r="P81" s="5"/>
      <c r="Q81" s="5"/>
      <c r="R81" s="5"/>
    </row>
    <row r="82" spans="1:18" ht="15">
      <c r="A82" s="1" t="s">
        <v>50</v>
      </c>
      <c r="B82" s="84" t="s">
        <v>69</v>
      </c>
      <c r="C82" s="84" t="s">
        <v>72</v>
      </c>
      <c r="D82" s="84" t="s">
        <v>71</v>
      </c>
      <c r="E82" s="82" t="s">
        <v>59</v>
      </c>
      <c r="F82" s="72">
        <v>0.5</v>
      </c>
      <c r="G82" s="72">
        <v>0.01</v>
      </c>
      <c r="H82" s="73">
        <v>1</v>
      </c>
      <c r="I82" s="74"/>
      <c r="J82" s="74"/>
      <c r="K82" s="72" t="e">
        <f t="shared" si="10"/>
        <v>#DIV/0!</v>
      </c>
      <c r="L82" s="72" t="e">
        <f t="shared" si="11"/>
        <v>#DIV/0!</v>
      </c>
      <c r="M82" s="75" t="e">
        <f t="shared" si="12"/>
        <v>#DIV/0!</v>
      </c>
      <c r="N82" s="5"/>
      <c r="O82" s="5"/>
      <c r="P82" s="5"/>
      <c r="Q82" s="5"/>
      <c r="R82" s="5"/>
    </row>
    <row r="83" spans="1:18" ht="15">
      <c r="A83" s="1" t="s">
        <v>50</v>
      </c>
      <c r="B83" s="84" t="s">
        <v>69</v>
      </c>
      <c r="C83" s="84" t="s">
        <v>72</v>
      </c>
      <c r="D83" s="84" t="s">
        <v>71</v>
      </c>
      <c r="E83" s="82" t="s">
        <v>58</v>
      </c>
      <c r="F83" s="72">
        <v>0.5</v>
      </c>
      <c r="G83" s="72">
        <v>0.01</v>
      </c>
      <c r="H83" s="73">
        <v>1</v>
      </c>
      <c r="I83" s="74"/>
      <c r="J83" s="74"/>
      <c r="K83" s="72" t="e">
        <f t="shared" si="10"/>
        <v>#DIV/0!</v>
      </c>
      <c r="L83" s="72" t="e">
        <f t="shared" si="11"/>
        <v>#DIV/0!</v>
      </c>
      <c r="M83" s="75" t="e">
        <f t="shared" si="12"/>
        <v>#DIV/0!</v>
      </c>
      <c r="N83" s="5"/>
      <c r="O83" s="5"/>
      <c r="P83" s="5"/>
      <c r="Q83" s="5"/>
      <c r="R83" s="5"/>
    </row>
    <row r="84" spans="1:18" ht="15">
      <c r="B84" s="83"/>
      <c r="C84" s="84"/>
      <c r="D84" s="84"/>
      <c r="E84" s="82"/>
      <c r="F84" s="72"/>
      <c r="G84" s="72"/>
      <c r="H84" s="73"/>
      <c r="I84" s="74"/>
      <c r="J84" s="74"/>
      <c r="K84" s="72"/>
      <c r="L84" s="72"/>
      <c r="M84" s="75"/>
      <c r="N84" s="5"/>
      <c r="O84" s="5"/>
      <c r="P84" s="5"/>
      <c r="Q84" s="5"/>
      <c r="R84" s="5"/>
    </row>
    <row r="85" spans="1:18" ht="15">
      <c r="A85" s="1" t="s">
        <v>50</v>
      </c>
      <c r="B85" s="84" t="s">
        <v>73</v>
      </c>
      <c r="C85" s="84" t="s">
        <v>72</v>
      </c>
      <c r="D85" s="84">
        <v>2800</v>
      </c>
      <c r="E85" s="82" t="s">
        <v>65</v>
      </c>
      <c r="F85" s="72">
        <v>0.45500000000000002</v>
      </c>
      <c r="G85" s="72">
        <v>0.01</v>
      </c>
      <c r="H85" s="73">
        <v>1</v>
      </c>
      <c r="I85" s="74"/>
      <c r="J85" s="74"/>
      <c r="K85" s="72" t="e">
        <f t="shared" si="10"/>
        <v>#DIV/0!</v>
      </c>
      <c r="L85" s="72" t="e">
        <f t="shared" si="11"/>
        <v>#DIV/0!</v>
      </c>
      <c r="M85" s="75" t="e">
        <f t="shared" si="12"/>
        <v>#DIV/0!</v>
      </c>
      <c r="N85" s="5"/>
      <c r="O85" s="5"/>
      <c r="P85" s="5"/>
      <c r="Q85" s="5"/>
      <c r="R85" s="5"/>
    </row>
    <row r="86" spans="1:18" ht="15">
      <c r="A86" s="1" t="s">
        <v>50</v>
      </c>
      <c r="B86" s="84" t="s">
        <v>73</v>
      </c>
      <c r="C86" s="84" t="s">
        <v>72</v>
      </c>
      <c r="D86" s="84">
        <v>2800</v>
      </c>
      <c r="E86" s="82" t="s">
        <v>61</v>
      </c>
      <c r="F86" s="72">
        <v>0.5</v>
      </c>
      <c r="G86" s="72">
        <v>0.01</v>
      </c>
      <c r="H86" s="73">
        <v>1</v>
      </c>
      <c r="I86" s="74"/>
      <c r="J86" s="74"/>
      <c r="K86" s="72" t="e">
        <f t="shared" si="10"/>
        <v>#DIV/0!</v>
      </c>
      <c r="L86" s="72" t="e">
        <f t="shared" si="11"/>
        <v>#DIV/0!</v>
      </c>
      <c r="M86" s="75" t="e">
        <f t="shared" si="12"/>
        <v>#DIV/0!</v>
      </c>
      <c r="N86" s="5"/>
      <c r="O86" s="5"/>
      <c r="P86" s="5"/>
      <c r="Q86" s="5"/>
      <c r="R86" s="5"/>
    </row>
    <row r="87" spans="1:18" ht="15">
      <c r="A87" s="1" t="s">
        <v>50</v>
      </c>
      <c r="B87" s="84" t="s">
        <v>73</v>
      </c>
      <c r="C87" s="84" t="s">
        <v>70</v>
      </c>
      <c r="D87" s="84">
        <v>2600</v>
      </c>
      <c r="E87" s="82" t="s">
        <v>62</v>
      </c>
      <c r="F87" s="72">
        <v>0.5</v>
      </c>
      <c r="G87" s="72">
        <v>0.01</v>
      </c>
      <c r="H87" s="73">
        <v>1</v>
      </c>
      <c r="I87" s="74"/>
      <c r="J87" s="74"/>
      <c r="K87" s="72" t="e">
        <f t="shared" si="10"/>
        <v>#DIV/0!</v>
      </c>
      <c r="L87" s="72" t="e">
        <f t="shared" si="11"/>
        <v>#DIV/0!</v>
      </c>
      <c r="M87" s="75" t="e">
        <f t="shared" si="12"/>
        <v>#DIV/0!</v>
      </c>
      <c r="N87" s="5"/>
      <c r="O87" s="5"/>
      <c r="P87" s="5"/>
      <c r="Q87" s="5"/>
      <c r="R87" s="5"/>
    </row>
    <row r="88" spans="1:18" ht="15">
      <c r="A88" s="1" t="s">
        <v>50</v>
      </c>
      <c r="B88" s="84" t="s">
        <v>73</v>
      </c>
      <c r="C88" s="84" t="s">
        <v>70</v>
      </c>
      <c r="D88" s="84">
        <v>2600</v>
      </c>
      <c r="E88" s="82" t="s">
        <v>63</v>
      </c>
      <c r="F88" s="72">
        <v>0.5</v>
      </c>
      <c r="G88" s="72">
        <v>0.01</v>
      </c>
      <c r="H88" s="73">
        <v>1</v>
      </c>
      <c r="I88" s="74"/>
      <c r="J88" s="74"/>
      <c r="K88" s="72" t="e">
        <f t="shared" si="10"/>
        <v>#DIV/0!</v>
      </c>
      <c r="L88" s="72" t="e">
        <f t="shared" si="11"/>
        <v>#DIV/0!</v>
      </c>
      <c r="M88" s="75" t="e">
        <f t="shared" si="12"/>
        <v>#DIV/0!</v>
      </c>
      <c r="N88" s="5"/>
      <c r="O88" s="5"/>
      <c r="P88" s="5"/>
      <c r="Q88" s="5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D116"/>
      <c r="G116"/>
      <c r="H116"/>
    </row>
    <row r="117" spans="1:18">
      <c r="D117"/>
      <c r="G117"/>
      <c r="H117"/>
    </row>
    <row r="118" spans="1:18">
      <c r="D118"/>
      <c r="G118"/>
      <c r="H118"/>
    </row>
    <row r="119" spans="1:18">
      <c r="D119"/>
      <c r="G119"/>
      <c r="H119"/>
    </row>
    <row r="120" spans="1:18">
      <c r="D120"/>
      <c r="G120"/>
      <c r="H120"/>
    </row>
    <row r="121" spans="1:18">
      <c r="D121"/>
      <c r="G121"/>
      <c r="H121"/>
    </row>
    <row r="122" spans="1:18">
      <c r="D122"/>
      <c r="G122"/>
      <c r="H122"/>
    </row>
    <row r="123" spans="1:18">
      <c r="D123"/>
      <c r="G123"/>
      <c r="H123"/>
    </row>
    <row r="124" spans="1:18">
      <c r="D124"/>
      <c r="G124"/>
      <c r="H124"/>
    </row>
    <row r="125" spans="1:18">
      <c r="D125"/>
      <c r="G125"/>
      <c r="H125"/>
    </row>
    <row r="126" spans="1:18">
      <c r="D126"/>
      <c r="G126"/>
      <c r="H126"/>
    </row>
    <row r="127" spans="1:18">
      <c r="D127"/>
      <c r="G127"/>
      <c r="H127"/>
    </row>
    <row r="128" spans="1:18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  <row r="144" spans="4:8">
      <c r="D144"/>
      <c r="G144"/>
      <c r="H144"/>
    </row>
    <row r="145" spans="4:8">
      <c r="D145"/>
      <c r="G145"/>
      <c r="H145"/>
    </row>
    <row r="146" spans="4:8">
      <c r="D146"/>
      <c r="G146"/>
      <c r="H146"/>
    </row>
    <row r="147" spans="4:8">
      <c r="D147"/>
      <c r="G147"/>
      <c r="H147"/>
    </row>
    <row r="148" spans="4:8">
      <c r="D148"/>
      <c r="G148"/>
      <c r="H148"/>
    </row>
    <row r="149" spans="4:8">
      <c r="D149"/>
      <c r="G149"/>
      <c r="H149"/>
    </row>
    <row r="150" spans="4:8">
      <c r="D150"/>
      <c r="G150"/>
      <c r="H150"/>
    </row>
    <row r="151" spans="4:8">
      <c r="D151"/>
      <c r="G151"/>
      <c r="H151"/>
    </row>
    <row r="152" spans="4:8">
      <c r="D152"/>
      <c r="G152"/>
      <c r="H152"/>
    </row>
    <row r="153" spans="4:8">
      <c r="D153"/>
      <c r="G153"/>
      <c r="H153"/>
    </row>
    <row r="154" spans="4:8">
      <c r="D154"/>
      <c r="G154"/>
      <c r="H154"/>
    </row>
    <row r="155" spans="4:8">
      <c r="D155"/>
      <c r="G155"/>
      <c r="H155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fitToWidth="3" fitToHeight="0" orientation="landscape" horizontalDpi="300" verticalDpi="300"/>
  <headerFooter alignWithMargins="0">
    <oddFooter>Page &amp;P</oddFooter>
  </headerFooter>
  <extLst>
    <ext xmlns:mx="http://schemas.microsoft.com/office/mac/excel/2008/main" uri="{64002731-A6B0-56B0-2670-7721B7C09600}">
      <mx:PLV Mode="0" OnePage="0" WScale="9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Orest Kawka</cp:lastModifiedBy>
  <cp:lastPrinted>2016-08-19T17:15:24Z</cp:lastPrinted>
  <dcterms:created xsi:type="dcterms:W3CDTF">2000-07-17T18:17:12Z</dcterms:created>
  <dcterms:modified xsi:type="dcterms:W3CDTF">2016-08-19T23:40:03Z</dcterms:modified>
</cp:coreProperties>
</file>