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Volumes/sci0_on_memory/at42-12/CruiseLogs/"/>
    </mc:Choice>
  </mc:AlternateContent>
  <xr:revisionPtr revIDLastSave="0" documentId="13_ncr:1_{B9460EB7-7980-A942-A7C7-96D7362E9DAD}" xr6:coauthVersionLast="43" xr6:coauthVersionMax="43" xr10:uidLastSave="{00000000-0000-0000-0000-000000000000}"/>
  <bookViews>
    <workbookView xWindow="0" yWindow="1900" windowWidth="23240" windowHeight="10320" activeTab="3" xr2:uid="{00000000-000D-0000-FFFF-FFFF00000000}"/>
  </bookViews>
  <sheets>
    <sheet name="CTD005, 006, 007" sheetId="4" r:id="rId1"/>
    <sheet name="Template" sheetId="6" r:id="rId2"/>
    <sheet name="CTD 013,014" sheetId="9" r:id="rId3"/>
    <sheet name="Sheet2" sheetId="10" r:id="rId4"/>
    <sheet name="Sheet3" sheetId="11" r:id="rId5"/>
    <sheet name="Sheet4" sheetId="12" r:id="rId6"/>
    <sheet name="CTD008, J2-1160, J2-1161" sheetId="7" r:id="rId7"/>
    <sheet name="CTD010, 01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9" l="1"/>
  <c r="F6" i="9"/>
  <c r="G11" i="9" s="1"/>
  <c r="G22" i="9" l="1"/>
  <c r="G18" i="9"/>
  <c r="G14" i="9"/>
  <c r="G25" i="9"/>
  <c r="G21" i="9"/>
  <c r="G13" i="9"/>
  <c r="G24" i="9"/>
  <c r="G20" i="9"/>
  <c r="G16" i="9"/>
  <c r="G12" i="9"/>
  <c r="G23" i="9"/>
  <c r="G19" i="9"/>
  <c r="G15" i="9"/>
  <c r="G24" i="8"/>
  <c r="G23" i="8"/>
  <c r="G22" i="8"/>
  <c r="G21" i="8"/>
  <c r="G20" i="8"/>
  <c r="G19" i="8"/>
  <c r="G17" i="8"/>
  <c r="G16" i="8"/>
  <c r="G15" i="8"/>
  <c r="G14" i="8"/>
  <c r="G13" i="8"/>
  <c r="F6" i="8" l="1"/>
  <c r="F5" i="8"/>
  <c r="G12" i="8" l="1"/>
  <c r="F6" i="7"/>
  <c r="G20" i="7" s="1"/>
  <c r="F5" i="7"/>
  <c r="G14" i="7" l="1"/>
  <c r="G18" i="7"/>
  <c r="G13" i="7"/>
  <c r="G11" i="7"/>
  <c r="G15" i="7"/>
  <c r="G19" i="7"/>
  <c r="G17" i="7"/>
  <c r="G12" i="7"/>
  <c r="G16" i="7"/>
  <c r="F6" i="6"/>
  <c r="F5" i="6"/>
  <c r="G11" i="6" l="1"/>
  <c r="F6" i="4" l="1"/>
  <c r="F5" i="4"/>
  <c r="G42" i="4" l="1"/>
  <c r="G34" i="4"/>
  <c r="G41" i="4"/>
  <c r="G37" i="4"/>
  <c r="G33" i="4"/>
  <c r="G29" i="4"/>
  <c r="G25" i="4"/>
  <c r="G20" i="4"/>
  <c r="G15" i="4"/>
  <c r="G11" i="4"/>
  <c r="G40" i="4"/>
  <c r="G36" i="4"/>
  <c r="G32" i="4"/>
  <c r="G28" i="4"/>
  <c r="G23" i="4"/>
  <c r="G19" i="4"/>
  <c r="G14" i="4"/>
  <c r="G39" i="4"/>
  <c r="G35" i="4"/>
  <c r="G31" i="4"/>
  <c r="G27" i="4"/>
  <c r="G22" i="4"/>
  <c r="G18" i="4"/>
  <c r="G13" i="4"/>
  <c r="G38" i="4"/>
  <c r="G30" i="4"/>
  <c r="G26" i="4"/>
  <c r="G21" i="4"/>
  <c r="G16" i="4"/>
  <c r="G12" i="4"/>
</calcChain>
</file>

<file path=xl/sharedStrings.xml><?xml version="1.0" encoding="utf-8"?>
<sst xmlns="http://schemas.openxmlformats.org/spreadsheetml/2006/main" count="402" uniqueCount="153">
  <si>
    <t>Analyst:</t>
  </si>
  <si>
    <t>Bottle #</t>
  </si>
  <si>
    <t>Bottle Volume</t>
  </si>
  <si>
    <t>Buret Titer</t>
  </si>
  <si>
    <t>Comments</t>
  </si>
  <si>
    <t>ml</t>
  </si>
  <si>
    <t>ml/liter</t>
  </si>
  <si>
    <t>Date/Time:</t>
  </si>
  <si>
    <t>Blank #1</t>
  </si>
  <si>
    <t>Blank #2</t>
  </si>
  <si>
    <t>Standard Normality:</t>
  </si>
  <si>
    <t>(meters)</t>
  </si>
  <si>
    <t>Depth</t>
  </si>
  <si>
    <t>Oxygen Concentration</t>
  </si>
  <si>
    <t>Bottle</t>
  </si>
  <si>
    <t>Niskin</t>
  </si>
  <si>
    <t>Cast</t>
  </si>
  <si>
    <t>CTD</t>
  </si>
  <si>
    <t>Cruise #:</t>
  </si>
  <si>
    <t>Event #s:</t>
  </si>
  <si>
    <t>Standard #1</t>
  </si>
  <si>
    <t>Standard #2</t>
  </si>
  <si>
    <t>Standard #3</t>
  </si>
  <si>
    <t>Standard #4</t>
  </si>
  <si>
    <t>Correction Factor:</t>
  </si>
  <si>
    <t>Standard (avg):</t>
  </si>
  <si>
    <t>Pipette Volume:</t>
  </si>
  <si>
    <t>AT42-12</t>
  </si>
  <si>
    <t>20190618 21:00</t>
  </si>
  <si>
    <t>WR</t>
  </si>
  <si>
    <t>005</t>
  </si>
  <si>
    <t>1</t>
  </si>
  <si>
    <t>221</t>
  </si>
  <si>
    <t>001</t>
  </si>
  <si>
    <t>9</t>
  </si>
  <si>
    <t>140</t>
  </si>
  <si>
    <t>006C</t>
  </si>
  <si>
    <t>13</t>
  </si>
  <si>
    <t>101.3</t>
  </si>
  <si>
    <t>002</t>
  </si>
  <si>
    <t>15</t>
  </si>
  <si>
    <t>80.7</t>
  </si>
  <si>
    <t>003</t>
  </si>
  <si>
    <t>22</t>
  </si>
  <si>
    <t>21.1</t>
  </si>
  <si>
    <t>004A</t>
  </si>
  <si>
    <t>006</t>
  </si>
  <si>
    <t>5</t>
  </si>
  <si>
    <t>180</t>
  </si>
  <si>
    <t>007A</t>
  </si>
  <si>
    <t>7</t>
  </si>
  <si>
    <t>161</t>
  </si>
  <si>
    <t>008</t>
  </si>
  <si>
    <t>19</t>
  </si>
  <si>
    <t>40</t>
  </si>
  <si>
    <t>009</t>
  </si>
  <si>
    <t>20</t>
  </si>
  <si>
    <t>010A</t>
  </si>
  <si>
    <t>23</t>
  </si>
  <si>
    <t>11</t>
  </si>
  <si>
    <t>011</t>
  </si>
  <si>
    <t>013</t>
  </si>
  <si>
    <t>first run</t>
  </si>
  <si>
    <t>second run</t>
  </si>
  <si>
    <t>007</t>
  </si>
  <si>
    <t>2599</t>
  </si>
  <si>
    <t>017A</t>
  </si>
  <si>
    <t>3</t>
  </si>
  <si>
    <t>2500</t>
  </si>
  <si>
    <t>024</t>
  </si>
  <si>
    <t>2001</t>
  </si>
  <si>
    <t>023</t>
  </si>
  <si>
    <t>6</t>
  </si>
  <si>
    <t>1500</t>
  </si>
  <si>
    <t>016</t>
  </si>
  <si>
    <t>1250</t>
  </si>
  <si>
    <t>015</t>
  </si>
  <si>
    <t>1000</t>
  </si>
  <si>
    <t>014A</t>
  </si>
  <si>
    <t>750</t>
  </si>
  <si>
    <t>012</t>
  </si>
  <si>
    <t>500</t>
  </si>
  <si>
    <t>462</t>
  </si>
  <si>
    <t>100.5</t>
  </si>
  <si>
    <t>461</t>
  </si>
  <si>
    <t>460</t>
  </si>
  <si>
    <t>459</t>
  </si>
  <si>
    <t>100.4</t>
  </si>
  <si>
    <t>458</t>
  </si>
  <si>
    <t>457</t>
  </si>
  <si>
    <t>019A</t>
  </si>
  <si>
    <t>21</t>
  </si>
  <si>
    <t>75</t>
  </si>
  <si>
    <t>022</t>
  </si>
  <si>
    <t>50</t>
  </si>
  <si>
    <t>018</t>
  </si>
  <si>
    <t>2.5</t>
  </si>
  <si>
    <t>021</t>
  </si>
  <si>
    <t>24</t>
  </si>
  <si>
    <t>020</t>
  </si>
  <si>
    <t>J2-1160</t>
  </si>
  <si>
    <t>J2-1161</t>
  </si>
  <si>
    <t>2</t>
  </si>
  <si>
    <t>1-FW</t>
  </si>
  <si>
    <t>2-AFT</t>
  </si>
  <si>
    <t>2900</t>
  </si>
  <si>
    <t>578</t>
  </si>
  <si>
    <t>OX-001</t>
  </si>
  <si>
    <t>OX-002</t>
  </si>
  <si>
    <t>OX-003</t>
  </si>
  <si>
    <t>OX-004</t>
  </si>
  <si>
    <t>OX-005</t>
  </si>
  <si>
    <t>OX-006</t>
  </si>
  <si>
    <t>564</t>
  </si>
  <si>
    <t>400</t>
  </si>
  <si>
    <t>81</t>
  </si>
  <si>
    <t>OX-007A</t>
  </si>
  <si>
    <t>OX-008A</t>
  </si>
  <si>
    <t>OX-011</t>
  </si>
  <si>
    <t>OX-009</t>
  </si>
  <si>
    <t>AT-42-12</t>
  </si>
  <si>
    <t>20190624 09:00</t>
  </si>
  <si>
    <t>JN, EH</t>
  </si>
  <si>
    <t>JN</t>
  </si>
  <si>
    <t>010</t>
  </si>
  <si>
    <t>12</t>
  </si>
  <si>
    <t>42</t>
  </si>
  <si>
    <t>122</t>
  </si>
  <si>
    <t>182</t>
  </si>
  <si>
    <t>OX-457</t>
  </si>
  <si>
    <t>OX-458</t>
  </si>
  <si>
    <t>OX-459</t>
  </si>
  <si>
    <t>OX-460</t>
  </si>
  <si>
    <t>OX-461</t>
  </si>
  <si>
    <t>OX-462</t>
  </si>
  <si>
    <t>14</t>
  </si>
  <si>
    <t>100</t>
  </si>
  <si>
    <t>120</t>
  </si>
  <si>
    <t>OX-463</t>
  </si>
  <si>
    <t>OX-464</t>
  </si>
  <si>
    <t>OX-465</t>
  </si>
  <si>
    <t>OX-466A</t>
  </si>
  <si>
    <t>OX-467</t>
  </si>
  <si>
    <t>OX-468</t>
  </si>
  <si>
    <t>J2-163</t>
  </si>
  <si>
    <t>80</t>
  </si>
  <si>
    <t xml:space="preserve">Cruise # </t>
  </si>
  <si>
    <t>17</t>
  </si>
  <si>
    <t>18</t>
  </si>
  <si>
    <t>60</t>
  </si>
  <si>
    <t>2400</t>
  </si>
  <si>
    <t>463</t>
  </si>
  <si>
    <t>466A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</si>
</sst>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"/>
    <numFmt numFmtId="166" formatCode="0.0000"/>
    <numFmt numFmtId="167" formatCode="0.0000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gray0625">
        <bgColor theme="5" tint="0.79995117038483843"/>
      </patternFill>
    </fill>
    <fill>
      <patternFill patternType="gray0625">
        <bgColor theme="5" tint="0.79998168889431442"/>
      </patternFill>
    </fill>
    <fill>
      <patternFill patternType="gray125">
        <fgColor theme="5" tint="0.39994506668294322"/>
        <bgColor theme="5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right"/>
    </xf>
    <xf numFmtId="164" fontId="0" fillId="0" borderId="0" xfId="0" applyNumberFormat="1" applyFill="1" applyBorder="1"/>
    <xf numFmtId="2" fontId="0" fillId="0" borderId="0" xfId="0" applyNumberFormat="1" applyFill="1" applyBorder="1"/>
    <xf numFmtId="2" fontId="1" fillId="0" borderId="1" xfId="0" applyNumberFormat="1" applyFont="1" applyBorder="1" applyAlignment="1">
      <alignment horizontal="center"/>
    </xf>
    <xf numFmtId="0" fontId="0" fillId="0" borderId="0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0" xfId="0" applyFill="1" applyBorder="1"/>
    <xf numFmtId="164" fontId="0" fillId="0" borderId="0" xfId="0" applyNumberFormat="1" applyProtection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2" fontId="0" fillId="0" borderId="0" xfId="0" applyNumberFormat="1" applyBorder="1"/>
    <xf numFmtId="1" fontId="0" fillId="0" borderId="0" xfId="0" applyNumberFormat="1" applyBorder="1"/>
    <xf numFmtId="2" fontId="0" fillId="0" borderId="0" xfId="0" applyNumberForma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165" fontId="0" fillId="0" borderId="0" xfId="0" applyNumberFormat="1" applyFill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67" fontId="0" fillId="0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49" fontId="0" fillId="0" borderId="0" xfId="0" applyNumberFormat="1" applyBorder="1"/>
    <xf numFmtId="2" fontId="0" fillId="0" borderId="0" xfId="0" applyNumberFormat="1" applyFill="1" applyBorder="1" applyAlignment="1">
      <alignment horizontal="center"/>
    </xf>
    <xf numFmtId="167" fontId="0" fillId="6" borderId="0" xfId="0" applyNumberFormat="1" applyFill="1" applyAlignment="1">
      <alignment horizontal="center"/>
    </xf>
    <xf numFmtId="167" fontId="0" fillId="0" borderId="0" xfId="0" applyNumberFormat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2" fontId="0" fillId="0" borderId="0" xfId="0" applyNumberFormat="1" applyFill="1" applyBorder="1" applyAlignment="1">
      <alignment horizontal="right"/>
    </xf>
    <xf numFmtId="166" fontId="0" fillId="0" borderId="0" xfId="0" applyNumberFormat="1" applyFill="1" applyBorder="1" applyAlignment="1">
      <alignment horizontal="right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2" fontId="1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B89E-2015-2C4A-AA6F-D99FE3C8DD2B}">
  <dimension ref="A2:N44"/>
  <sheetViews>
    <sheetView workbookViewId="0">
      <selection activeCell="B3" sqref="B3:F4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2" spans="1:14" x14ac:dyDescent="0.2">
      <c r="K2" t="s">
        <v>62</v>
      </c>
      <c r="L2" t="s">
        <v>63</v>
      </c>
    </row>
    <row r="3" spans="1:14" x14ac:dyDescent="0.2">
      <c r="A3" s="10" t="s">
        <v>18</v>
      </c>
      <c r="B3" s="41" t="s">
        <v>27</v>
      </c>
      <c r="C3" s="41"/>
      <c r="E3" s="11" t="s">
        <v>26</v>
      </c>
      <c r="F3" s="25">
        <v>10</v>
      </c>
      <c r="H3" t="s">
        <v>20</v>
      </c>
      <c r="I3" s="28">
        <v>0.50149999999999995</v>
      </c>
      <c r="J3" t="s">
        <v>8</v>
      </c>
      <c r="K3" s="28">
        <v>5.0999999999999997E-2</v>
      </c>
      <c r="L3" s="28">
        <v>0.10299999999999999</v>
      </c>
    </row>
    <row r="4" spans="1:14" x14ac:dyDescent="0.2">
      <c r="A4" s="13" t="s">
        <v>19</v>
      </c>
      <c r="B4" s="42"/>
      <c r="C4" s="42"/>
      <c r="E4" s="7" t="s">
        <v>10</v>
      </c>
      <c r="F4" s="25">
        <v>0.01</v>
      </c>
      <c r="G4" s="8"/>
      <c r="H4" t="s">
        <v>21</v>
      </c>
      <c r="I4" s="28">
        <v>0.501</v>
      </c>
      <c r="J4" t="s">
        <v>9</v>
      </c>
      <c r="K4" s="28">
        <v>5.1499999999999997E-2</v>
      </c>
      <c r="L4" s="28">
        <v>0.10299999999999999</v>
      </c>
    </row>
    <row r="5" spans="1:14" x14ac:dyDescent="0.2">
      <c r="A5" s="13" t="s">
        <v>7</v>
      </c>
      <c r="B5" s="43" t="s">
        <v>28</v>
      </c>
      <c r="C5" s="42"/>
      <c r="E5" s="7" t="s">
        <v>25</v>
      </c>
      <c r="F5" s="26">
        <f>AVERAGE(I3:I6)</f>
        <v>0.501</v>
      </c>
      <c r="G5" s="8"/>
      <c r="H5" t="s">
        <v>22</v>
      </c>
      <c r="I5" s="28">
        <v>0.50049999999999994</v>
      </c>
      <c r="K5" s="15"/>
    </row>
    <row r="6" spans="1:14" x14ac:dyDescent="0.2">
      <c r="A6" s="12" t="s">
        <v>0</v>
      </c>
      <c r="B6" s="42" t="s">
        <v>29</v>
      </c>
      <c r="C6" s="42"/>
      <c r="E6" s="21" t="s">
        <v>24</v>
      </c>
      <c r="F6" s="23">
        <f>AVERAGE(L3-K3, L4-K4)</f>
        <v>5.1749999999999997E-2</v>
      </c>
      <c r="G6" s="22"/>
      <c r="H6" t="s">
        <v>23</v>
      </c>
      <c r="I6" s="28"/>
    </row>
    <row r="7" spans="1:14" x14ac:dyDescent="0.2">
      <c r="A7" s="10"/>
      <c r="B7" s="10"/>
      <c r="C7" s="10"/>
      <c r="D7" s="10"/>
      <c r="E7" s="10"/>
      <c r="F7" s="12"/>
      <c r="G7" s="12"/>
      <c r="H7" s="19"/>
      <c r="I7" s="20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3" t="s">
        <v>16</v>
      </c>
      <c r="B10" s="3" t="s">
        <v>14</v>
      </c>
      <c r="C10" s="3" t="s">
        <v>11</v>
      </c>
      <c r="D10" s="3"/>
      <c r="E10" s="3" t="s">
        <v>5</v>
      </c>
      <c r="F10" s="4" t="s">
        <v>5</v>
      </c>
      <c r="G10" s="9" t="s">
        <v>6</v>
      </c>
      <c r="H10" s="6"/>
    </row>
    <row r="11" spans="1:14" ht="16" thickTop="1" x14ac:dyDescent="0.2">
      <c r="A11" s="29" t="s">
        <v>30</v>
      </c>
      <c r="B11" s="29" t="s">
        <v>31</v>
      </c>
      <c r="C11" s="29" t="s">
        <v>32</v>
      </c>
      <c r="D11" s="29" t="s">
        <v>33</v>
      </c>
      <c r="E11" s="10">
        <v>130.19</v>
      </c>
      <c r="F11" s="10">
        <v>0.24399999999999999</v>
      </c>
      <c r="G11" s="31">
        <f>(((((F11-$F$6)*$F$3*$F$4*5598)/($F$5-$F$6))-1000*0.0017)/(E11-2))</f>
        <v>1.8555134080111941</v>
      </c>
      <c r="N11" s="14"/>
    </row>
    <row r="12" spans="1:14" x14ac:dyDescent="0.2">
      <c r="A12" s="29" t="s">
        <v>30</v>
      </c>
      <c r="B12" s="29" t="s">
        <v>34</v>
      </c>
      <c r="C12" s="29" t="s">
        <v>35</v>
      </c>
      <c r="D12" s="29" t="s">
        <v>36</v>
      </c>
      <c r="E12" s="10">
        <v>140.56</v>
      </c>
      <c r="F12" s="10">
        <v>0.34799999999999998</v>
      </c>
      <c r="G12" s="31">
        <f t="shared" ref="G12:G42" si="0">(((((F12-$F$6)*$F$3*$F$4*5598)/($F$5-$F$6))-1000*0.0017)/(E12-2))</f>
        <v>2.651921553243088</v>
      </c>
    </row>
    <row r="13" spans="1:14" x14ac:dyDescent="0.2">
      <c r="A13" s="29" t="s">
        <v>30</v>
      </c>
      <c r="B13" s="29" t="s">
        <v>37</v>
      </c>
      <c r="C13" s="29" t="s">
        <v>38</v>
      </c>
      <c r="D13" s="29" t="s">
        <v>39</v>
      </c>
      <c r="E13" s="10">
        <v>132.4</v>
      </c>
      <c r="F13" s="10">
        <v>0.46850000000000003</v>
      </c>
      <c r="G13" s="31">
        <f t="shared" si="0"/>
        <v>3.9693443571596831</v>
      </c>
    </row>
    <row r="14" spans="1:14" x14ac:dyDescent="0.2">
      <c r="A14" s="29" t="s">
        <v>30</v>
      </c>
      <c r="B14" s="29" t="s">
        <v>40</v>
      </c>
      <c r="C14" s="29" t="s">
        <v>41</v>
      </c>
      <c r="D14" s="29" t="s">
        <v>42</v>
      </c>
      <c r="E14" s="10">
        <v>132.79</v>
      </c>
      <c r="F14" s="10">
        <v>0.62350000000000005</v>
      </c>
      <c r="G14" s="31">
        <f t="shared" si="0"/>
        <v>5.4342412060981431</v>
      </c>
    </row>
    <row r="15" spans="1:14" x14ac:dyDescent="0.2">
      <c r="A15" s="29" t="s">
        <v>30</v>
      </c>
      <c r="B15" s="29" t="s">
        <v>43</v>
      </c>
      <c r="C15" s="29" t="s">
        <v>44</v>
      </c>
      <c r="D15" s="29" t="s">
        <v>45</v>
      </c>
      <c r="E15" s="10">
        <v>132.80000000000001</v>
      </c>
      <c r="F15" s="10">
        <v>0.78500000000000003</v>
      </c>
      <c r="G15" s="31">
        <f t="shared" si="0"/>
        <v>6.9723685755566098</v>
      </c>
      <c r="N15" s="14"/>
    </row>
    <row r="16" spans="1:14" x14ac:dyDescent="0.2">
      <c r="A16" s="29" t="s">
        <v>30</v>
      </c>
      <c r="B16" s="29" t="s">
        <v>43</v>
      </c>
      <c r="C16" s="29" t="s">
        <v>44</v>
      </c>
      <c r="D16" s="29" t="s">
        <v>30</v>
      </c>
      <c r="E16" s="10">
        <v>134.51</v>
      </c>
      <c r="F16" s="10">
        <v>0.78649999999999998</v>
      </c>
      <c r="G16" s="31">
        <f t="shared" si="0"/>
        <v>6.8964978105410255</v>
      </c>
    </row>
    <row r="17" spans="1:12" x14ac:dyDescent="0.2">
      <c r="A17" s="29"/>
      <c r="B17" s="29"/>
      <c r="C17" s="29"/>
      <c r="D17" s="29"/>
      <c r="E17" s="10"/>
      <c r="F17" s="10"/>
      <c r="G17" s="31"/>
    </row>
    <row r="18" spans="1:12" x14ac:dyDescent="0.2">
      <c r="A18" s="29" t="s">
        <v>46</v>
      </c>
      <c r="B18" s="29" t="s">
        <v>47</v>
      </c>
      <c r="C18" s="29" t="s">
        <v>48</v>
      </c>
      <c r="D18" s="29" t="s">
        <v>49</v>
      </c>
      <c r="E18" s="10">
        <v>142.51</v>
      </c>
      <c r="F18" s="10">
        <v>0.40100000000000002</v>
      </c>
      <c r="G18" s="31">
        <f t="shared" si="0"/>
        <v>3.0851350119865053</v>
      </c>
    </row>
    <row r="19" spans="1:12" x14ac:dyDescent="0.2">
      <c r="A19" s="29" t="s">
        <v>46</v>
      </c>
      <c r="B19" s="29" t="s">
        <v>50</v>
      </c>
      <c r="C19" s="29" t="s">
        <v>51</v>
      </c>
      <c r="D19" s="29" t="s">
        <v>52</v>
      </c>
      <c r="E19" s="10">
        <v>128.19</v>
      </c>
      <c r="F19" s="10">
        <v>0.41899999999999998</v>
      </c>
      <c r="G19" s="31">
        <f t="shared" si="0"/>
        <v>3.6129780714641679</v>
      </c>
    </row>
    <row r="20" spans="1:12" x14ac:dyDescent="0.2">
      <c r="A20" s="29" t="s">
        <v>46</v>
      </c>
      <c r="B20" s="29" t="s">
        <v>53</v>
      </c>
      <c r="C20" s="29" t="s">
        <v>54</v>
      </c>
      <c r="D20" s="29" t="s">
        <v>55</v>
      </c>
      <c r="E20" s="10">
        <v>136.66999999999999</v>
      </c>
      <c r="F20" s="10">
        <v>0.90249999999999997</v>
      </c>
      <c r="G20" s="31">
        <f t="shared" si="0"/>
        <v>7.8592101659990474</v>
      </c>
    </row>
    <row r="21" spans="1:12" x14ac:dyDescent="0.2">
      <c r="A21" s="29" t="s">
        <v>46</v>
      </c>
      <c r="B21" s="29" t="s">
        <v>56</v>
      </c>
      <c r="C21" s="29" t="s">
        <v>54</v>
      </c>
      <c r="D21" s="29" t="s">
        <v>57</v>
      </c>
      <c r="E21" s="10">
        <v>142.84</v>
      </c>
      <c r="F21" s="10">
        <v>0.872</v>
      </c>
      <c r="G21" s="31">
        <f t="shared" si="0"/>
        <v>7.2450617070294658</v>
      </c>
    </row>
    <row r="22" spans="1:12" x14ac:dyDescent="0.2">
      <c r="A22" s="29" t="s">
        <v>46</v>
      </c>
      <c r="B22" s="29" t="s">
        <v>58</v>
      </c>
      <c r="C22" s="29" t="s">
        <v>59</v>
      </c>
      <c r="D22" s="29" t="s">
        <v>60</v>
      </c>
      <c r="E22" s="10">
        <v>127.71</v>
      </c>
      <c r="F22" s="10">
        <v>0.69899999999999995</v>
      </c>
      <c r="G22" s="31">
        <f t="shared" si="0"/>
        <v>6.4022210273028168</v>
      </c>
    </row>
    <row r="23" spans="1:12" x14ac:dyDescent="0.2">
      <c r="A23" s="29" t="s">
        <v>46</v>
      </c>
      <c r="B23" s="29" t="s">
        <v>58</v>
      </c>
      <c r="C23" s="29" t="s">
        <v>59</v>
      </c>
      <c r="D23" s="29" t="s">
        <v>61</v>
      </c>
      <c r="E23" s="10">
        <v>131.79</v>
      </c>
      <c r="F23" s="10">
        <v>0.75549999999999995</v>
      </c>
      <c r="G23" s="31">
        <f t="shared" si="0"/>
        <v>6.7434050715802494</v>
      </c>
    </row>
    <row r="24" spans="1:12" x14ac:dyDescent="0.2">
      <c r="A24" s="16"/>
      <c r="B24" s="16"/>
      <c r="C24" s="16"/>
      <c r="D24" s="16"/>
      <c r="E24" s="30"/>
      <c r="F24" s="26"/>
      <c r="G24" s="31"/>
    </row>
    <row r="25" spans="1:12" x14ac:dyDescent="0.2">
      <c r="A25" s="29" t="s">
        <v>64</v>
      </c>
      <c r="B25" s="29" t="s">
        <v>31</v>
      </c>
      <c r="C25" s="29" t="s">
        <v>65</v>
      </c>
      <c r="D25" s="29" t="s">
        <v>66</v>
      </c>
      <c r="E25" s="10">
        <v>129.04</v>
      </c>
      <c r="F25" s="10">
        <v>0.25750000000000001</v>
      </c>
      <c r="G25" s="31">
        <f t="shared" si="0"/>
        <v>2.0047252873176542</v>
      </c>
      <c r="K25" s="18"/>
      <c r="L25" s="18"/>
    </row>
    <row r="26" spans="1:12" x14ac:dyDescent="0.2">
      <c r="A26" s="29" t="s">
        <v>64</v>
      </c>
      <c r="B26" s="29" t="s">
        <v>67</v>
      </c>
      <c r="C26" s="29" t="s">
        <v>68</v>
      </c>
      <c r="D26" s="29" t="s">
        <v>69</v>
      </c>
      <c r="E26" s="10">
        <v>132.63999999999999</v>
      </c>
      <c r="F26" s="10">
        <v>0.22650000000000001</v>
      </c>
      <c r="G26" s="31">
        <f t="shared" si="0"/>
        <v>1.6537960798105031</v>
      </c>
      <c r="K26" s="18"/>
      <c r="L26" s="18"/>
    </row>
    <row r="27" spans="1:12" x14ac:dyDescent="0.2">
      <c r="A27" s="29" t="s">
        <v>64</v>
      </c>
      <c r="B27" s="29" t="s">
        <v>47</v>
      </c>
      <c r="C27" s="29" t="s">
        <v>70</v>
      </c>
      <c r="D27" s="29" t="s">
        <v>71</v>
      </c>
      <c r="E27" s="10">
        <v>129.99</v>
      </c>
      <c r="F27" s="10">
        <v>0.17449999999999999</v>
      </c>
      <c r="G27" s="31">
        <f t="shared" si="0"/>
        <v>1.18177925263099</v>
      </c>
      <c r="K27" s="17"/>
      <c r="L27" s="17"/>
    </row>
    <row r="28" spans="1:12" x14ac:dyDescent="0.2">
      <c r="A28" s="29" t="s">
        <v>64</v>
      </c>
      <c r="B28" s="29" t="s">
        <v>72</v>
      </c>
      <c r="C28" s="29" t="s">
        <v>73</v>
      </c>
      <c r="D28" s="29" t="s">
        <v>74</v>
      </c>
      <c r="E28" s="10">
        <v>131.34</v>
      </c>
      <c r="F28" s="10">
        <v>0.13750000000000001</v>
      </c>
      <c r="G28" s="31">
        <f t="shared" si="0"/>
        <v>0.81298194790399858</v>
      </c>
      <c r="K28" s="16"/>
      <c r="L28" s="17"/>
    </row>
    <row r="29" spans="1:12" x14ac:dyDescent="0.2">
      <c r="A29" s="29" t="s">
        <v>64</v>
      </c>
      <c r="B29" s="29" t="s">
        <v>34</v>
      </c>
      <c r="C29" s="29" t="s">
        <v>75</v>
      </c>
      <c r="D29" s="29" t="s">
        <v>76</v>
      </c>
      <c r="E29" s="10">
        <v>132.97999999999999</v>
      </c>
      <c r="F29" s="10">
        <v>7.0000000000000007E-2</v>
      </c>
      <c r="G29" s="31">
        <f t="shared" si="0"/>
        <v>0.16064209423197578</v>
      </c>
      <c r="K29" s="23"/>
      <c r="L29" s="17"/>
    </row>
    <row r="30" spans="1:12" x14ac:dyDescent="0.2">
      <c r="A30" s="29" t="s">
        <v>64</v>
      </c>
      <c r="B30" s="29" t="s">
        <v>59</v>
      </c>
      <c r="C30" s="29" t="s">
        <v>77</v>
      </c>
      <c r="D30" s="29" t="s">
        <v>78</v>
      </c>
      <c r="E30" s="10">
        <v>140.13</v>
      </c>
      <c r="F30" s="10">
        <v>5.45E-2</v>
      </c>
      <c r="G30" s="31">
        <f t="shared" si="0"/>
        <v>1.2500623943450744E-2</v>
      </c>
      <c r="K30" s="24"/>
      <c r="L30" s="17"/>
    </row>
    <row r="31" spans="1:12" x14ac:dyDescent="0.2">
      <c r="A31" s="29" t="s">
        <v>64</v>
      </c>
      <c r="B31" s="29" t="s">
        <v>37</v>
      </c>
      <c r="C31" s="29" t="s">
        <v>79</v>
      </c>
      <c r="D31" s="29" t="s">
        <v>80</v>
      </c>
      <c r="E31" s="10">
        <v>131.05000000000001</v>
      </c>
      <c r="F31" s="10">
        <v>4.7E-2</v>
      </c>
      <c r="G31" s="31">
        <f t="shared" si="0"/>
        <v>-5.9038084266752187E-2</v>
      </c>
      <c r="K31" s="18"/>
      <c r="L31" s="18"/>
    </row>
    <row r="32" spans="1:12" x14ac:dyDescent="0.2">
      <c r="A32" s="29" t="s">
        <v>64</v>
      </c>
      <c r="B32" s="29" t="s">
        <v>40</v>
      </c>
      <c r="C32" s="29" t="s">
        <v>81</v>
      </c>
      <c r="D32" s="29" t="s">
        <v>82</v>
      </c>
      <c r="E32" s="10">
        <v>134.69999999999999</v>
      </c>
      <c r="F32" s="10">
        <v>0.1225</v>
      </c>
      <c r="G32" s="31">
        <f t="shared" si="0"/>
        <v>0.65154433475536355</v>
      </c>
      <c r="K32" s="18"/>
      <c r="L32" s="18"/>
    </row>
    <row r="33" spans="1:9" x14ac:dyDescent="0.2">
      <c r="A33" s="29" t="s">
        <v>64</v>
      </c>
      <c r="B33" s="29" t="s">
        <v>53</v>
      </c>
      <c r="C33" s="29" t="s">
        <v>83</v>
      </c>
      <c r="D33" s="29" t="s">
        <v>84</v>
      </c>
      <c r="E33" s="10">
        <v>135.01</v>
      </c>
      <c r="F33" s="10">
        <v>0.73050000000000004</v>
      </c>
      <c r="G33" s="31">
        <f t="shared" si="0"/>
        <v>6.3459486081795111</v>
      </c>
      <c r="I33" s="32"/>
    </row>
    <row r="34" spans="1:9" x14ac:dyDescent="0.2">
      <c r="A34" s="29" t="s">
        <v>64</v>
      </c>
      <c r="B34" s="29" t="s">
        <v>53</v>
      </c>
      <c r="C34" s="29" t="s">
        <v>83</v>
      </c>
      <c r="D34" s="29" t="s">
        <v>85</v>
      </c>
      <c r="E34" s="10">
        <v>134.69</v>
      </c>
      <c r="F34" s="10">
        <v>0.73450000000000004</v>
      </c>
      <c r="G34" s="31">
        <f t="shared" si="0"/>
        <v>6.3988162751721136</v>
      </c>
    </row>
    <row r="35" spans="1:9" x14ac:dyDescent="0.2">
      <c r="A35" s="29" t="s">
        <v>64</v>
      </c>
      <c r="B35" s="29" t="s">
        <v>53</v>
      </c>
      <c r="C35" s="29" t="s">
        <v>83</v>
      </c>
      <c r="D35" s="29" t="s">
        <v>86</v>
      </c>
      <c r="E35" s="10">
        <v>133.88</v>
      </c>
      <c r="F35" s="10">
        <v>0.72150000000000003</v>
      </c>
      <c r="G35" s="31">
        <f t="shared" si="0"/>
        <v>6.3152861178498396</v>
      </c>
    </row>
    <row r="36" spans="1:9" x14ac:dyDescent="0.2">
      <c r="A36" s="29" t="s">
        <v>64</v>
      </c>
      <c r="B36" s="29" t="s">
        <v>56</v>
      </c>
      <c r="C36" s="29" t="s">
        <v>87</v>
      </c>
      <c r="D36" s="29" t="s">
        <v>88</v>
      </c>
      <c r="E36" s="10">
        <v>135.97999999999999</v>
      </c>
      <c r="F36" s="10">
        <v>0.73150000000000004</v>
      </c>
      <c r="G36" s="31">
        <f t="shared" si="0"/>
        <v>6.3093051288894948</v>
      </c>
      <c r="I36" s="32"/>
    </row>
    <row r="37" spans="1:9" x14ac:dyDescent="0.2">
      <c r="A37" s="29" t="s">
        <v>64</v>
      </c>
      <c r="B37" s="29" t="s">
        <v>56</v>
      </c>
      <c r="C37" s="29" t="s">
        <v>87</v>
      </c>
      <c r="D37" s="29" t="s">
        <v>89</v>
      </c>
      <c r="E37" s="10">
        <v>133.08000000000001</v>
      </c>
      <c r="F37" s="10">
        <v>0.71299999999999997</v>
      </c>
      <c r="G37" s="31">
        <f t="shared" si="0"/>
        <v>6.2730262470815203</v>
      </c>
    </row>
    <row r="38" spans="1:9" x14ac:dyDescent="0.2">
      <c r="A38" s="29" t="s">
        <v>64</v>
      </c>
      <c r="B38" s="29" t="s">
        <v>56</v>
      </c>
      <c r="C38" s="29" t="s">
        <v>87</v>
      </c>
      <c r="D38" s="29" t="s">
        <v>90</v>
      </c>
      <c r="E38" s="10">
        <v>129.57</v>
      </c>
      <c r="F38" s="10">
        <v>0.72699999999999998</v>
      </c>
      <c r="G38" s="31">
        <f t="shared" si="0"/>
        <v>6.5823732507067065</v>
      </c>
    </row>
    <row r="39" spans="1:9" x14ac:dyDescent="0.2">
      <c r="A39" s="29" t="s">
        <v>64</v>
      </c>
      <c r="B39" s="29" t="s">
        <v>91</v>
      </c>
      <c r="C39" s="29" t="s">
        <v>92</v>
      </c>
      <c r="D39" s="29" t="s">
        <v>93</v>
      </c>
      <c r="E39" s="10">
        <v>131.51</v>
      </c>
      <c r="F39" s="10">
        <v>0.76449999999999996</v>
      </c>
      <c r="G39" s="31">
        <f t="shared" si="0"/>
        <v>6.8445775260004673</v>
      </c>
    </row>
    <row r="40" spans="1:9" x14ac:dyDescent="0.2">
      <c r="A40" s="29" t="s">
        <v>64</v>
      </c>
      <c r="B40" s="29" t="s">
        <v>43</v>
      </c>
      <c r="C40" s="29" t="s">
        <v>94</v>
      </c>
      <c r="D40" s="29" t="s">
        <v>95</v>
      </c>
      <c r="E40" s="10">
        <v>131.19999999999999</v>
      </c>
      <c r="F40" s="10">
        <v>0.80200000000000005</v>
      </c>
      <c r="G40" s="31">
        <f t="shared" si="0"/>
        <v>7.2226711702166151</v>
      </c>
    </row>
    <row r="41" spans="1:9" x14ac:dyDescent="0.2">
      <c r="A41" s="29" t="s">
        <v>64</v>
      </c>
      <c r="B41" s="29" t="s">
        <v>58</v>
      </c>
      <c r="C41" s="29" t="s">
        <v>96</v>
      </c>
      <c r="D41" s="29" t="s">
        <v>97</v>
      </c>
      <c r="E41" s="10">
        <v>130.55000000000001</v>
      </c>
      <c r="F41" s="10">
        <v>0.74950000000000006</v>
      </c>
      <c r="G41" s="31">
        <f t="shared" si="0"/>
        <v>6.7502923646243032</v>
      </c>
    </row>
    <row r="42" spans="1:9" x14ac:dyDescent="0.2">
      <c r="A42" s="29" t="s">
        <v>64</v>
      </c>
      <c r="B42" s="29" t="s">
        <v>98</v>
      </c>
      <c r="C42" s="29" t="s">
        <v>96</v>
      </c>
      <c r="D42" s="29" t="s">
        <v>99</v>
      </c>
      <c r="E42" s="10">
        <v>134.94999999999999</v>
      </c>
      <c r="F42" s="10">
        <v>0.77849999999999997</v>
      </c>
      <c r="G42" s="31">
        <f t="shared" si="0"/>
        <v>6.7986935729035674</v>
      </c>
    </row>
    <row r="43" spans="1:9" x14ac:dyDescent="0.2">
      <c r="A43" s="10"/>
      <c r="B43" s="10"/>
      <c r="C43" s="10"/>
      <c r="D43" s="10"/>
      <c r="E43" s="10"/>
      <c r="F43" s="10"/>
    </row>
    <row r="44" spans="1:9" x14ac:dyDescent="0.2">
      <c r="A44" s="29"/>
      <c r="B44" s="29"/>
      <c r="C44" s="29"/>
      <c r="D44" s="29"/>
      <c r="E44" s="10"/>
      <c r="F44" s="10"/>
      <c r="G44" s="27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397EB-DB23-C040-AB97-AB68F0169314}">
  <dimension ref="A2:N45"/>
  <sheetViews>
    <sheetView workbookViewId="0">
      <selection activeCell="A3" sqref="A3:L18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2" spans="1:14" x14ac:dyDescent="0.2">
      <c r="K2" t="s">
        <v>62</v>
      </c>
      <c r="L2" t="s">
        <v>63</v>
      </c>
    </row>
    <row r="3" spans="1:14" x14ac:dyDescent="0.2">
      <c r="A3" s="10" t="s">
        <v>18</v>
      </c>
      <c r="B3" s="41"/>
      <c r="C3" s="41"/>
      <c r="E3" s="11" t="s">
        <v>26</v>
      </c>
      <c r="F3" s="25">
        <v>10</v>
      </c>
      <c r="H3" t="s">
        <v>20</v>
      </c>
      <c r="I3" s="28"/>
      <c r="J3" t="s">
        <v>8</v>
      </c>
      <c r="K3" s="28"/>
      <c r="L3" s="28"/>
    </row>
    <row r="4" spans="1:14" x14ac:dyDescent="0.2">
      <c r="A4" s="13" t="s">
        <v>19</v>
      </c>
      <c r="B4" s="42"/>
      <c r="C4" s="42"/>
      <c r="E4" s="7" t="s">
        <v>10</v>
      </c>
      <c r="F4" s="25">
        <v>0.01</v>
      </c>
      <c r="G4" s="8"/>
      <c r="H4" t="s">
        <v>21</v>
      </c>
      <c r="I4" s="28"/>
      <c r="J4" t="s">
        <v>9</v>
      </c>
      <c r="K4" s="28"/>
      <c r="L4" s="28"/>
    </row>
    <row r="5" spans="1:14" x14ac:dyDescent="0.2">
      <c r="A5" s="13" t="s">
        <v>7</v>
      </c>
      <c r="B5" s="43"/>
      <c r="C5" s="42"/>
      <c r="E5" s="7" t="s">
        <v>25</v>
      </c>
      <c r="F5" s="26" t="e">
        <f>AVERAGE(I3:I6)</f>
        <v>#DIV/0!</v>
      </c>
      <c r="G5" s="8"/>
      <c r="H5" t="s">
        <v>22</v>
      </c>
      <c r="I5" s="28"/>
      <c r="K5" s="15"/>
    </row>
    <row r="6" spans="1:14" x14ac:dyDescent="0.2">
      <c r="A6" s="12" t="s">
        <v>0</v>
      </c>
      <c r="B6" s="42"/>
      <c r="C6" s="42"/>
      <c r="E6" s="21" t="s">
        <v>24</v>
      </c>
      <c r="F6" s="23">
        <f>AVERAGE(L3-K3, L4-K4)</f>
        <v>0</v>
      </c>
      <c r="G6" s="22"/>
      <c r="H6" t="s">
        <v>23</v>
      </c>
      <c r="I6" s="28"/>
    </row>
    <row r="7" spans="1:14" x14ac:dyDescent="0.2">
      <c r="A7" s="10"/>
      <c r="B7" s="10"/>
      <c r="C7" s="10"/>
      <c r="D7" s="10"/>
      <c r="E7" s="10"/>
      <c r="F7" s="12"/>
      <c r="G7" s="12"/>
      <c r="H7" s="19"/>
      <c r="I7" s="20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3" t="s">
        <v>16</v>
      </c>
      <c r="B10" s="3" t="s">
        <v>14</v>
      </c>
      <c r="C10" s="3" t="s">
        <v>11</v>
      </c>
      <c r="D10" s="3"/>
      <c r="E10" s="3" t="s">
        <v>5</v>
      </c>
      <c r="F10" s="4" t="s">
        <v>5</v>
      </c>
      <c r="G10" s="9" t="s">
        <v>6</v>
      </c>
      <c r="H10" s="6"/>
    </row>
    <row r="11" spans="1:14" ht="16" thickTop="1" x14ac:dyDescent="0.2">
      <c r="A11" s="29"/>
      <c r="B11" s="29"/>
      <c r="C11" s="29"/>
      <c r="D11" s="29"/>
      <c r="E11" s="10"/>
      <c r="F11" s="10"/>
      <c r="G11" s="31" t="e">
        <f>(((((F11-$F$6)*$F$3*$F$4*5598)/($F$5-$F$6))-1000*0.0017)/(E11-2))</f>
        <v>#DIV/0!</v>
      </c>
      <c r="N11" s="14"/>
    </row>
    <row r="12" spans="1:14" x14ac:dyDescent="0.2">
      <c r="A12" s="29"/>
      <c r="B12" s="29"/>
      <c r="C12" s="29"/>
      <c r="D12" s="29"/>
      <c r="E12" s="10"/>
      <c r="F12" s="10"/>
      <c r="G12" s="27"/>
    </row>
    <row r="13" spans="1:14" x14ac:dyDescent="0.2">
      <c r="A13" s="29"/>
      <c r="B13" s="29"/>
      <c r="C13" s="29"/>
      <c r="D13" s="29"/>
      <c r="E13" s="10"/>
      <c r="F13" s="10"/>
      <c r="G13" s="27"/>
    </row>
    <row r="14" spans="1:14" x14ac:dyDescent="0.2">
      <c r="A14" s="29"/>
      <c r="B14" s="29"/>
      <c r="C14" s="29"/>
      <c r="D14" s="29"/>
      <c r="E14" s="10"/>
      <c r="F14" s="10"/>
      <c r="G14" s="27"/>
    </row>
    <row r="15" spans="1:14" x14ac:dyDescent="0.2">
      <c r="A15" s="29"/>
      <c r="B15" s="29"/>
      <c r="C15" s="29"/>
      <c r="D15" s="29"/>
      <c r="E15" s="10"/>
      <c r="F15" s="10"/>
      <c r="G15" s="27"/>
      <c r="N15" s="14"/>
    </row>
    <row r="16" spans="1:14" x14ac:dyDescent="0.2">
      <c r="A16" s="29"/>
      <c r="B16" s="29"/>
      <c r="C16" s="29"/>
      <c r="D16" s="29"/>
      <c r="E16" s="10"/>
      <c r="F16" s="10"/>
      <c r="G16" s="27"/>
    </row>
    <row r="17" spans="1:12" x14ac:dyDescent="0.2">
      <c r="A17" s="29"/>
      <c r="B17" s="29"/>
      <c r="C17" s="29"/>
      <c r="D17" s="29"/>
      <c r="E17" s="10"/>
      <c r="F17" s="10"/>
      <c r="G17" s="27"/>
    </row>
    <row r="18" spans="1:12" x14ac:dyDescent="0.2">
      <c r="A18" s="29"/>
      <c r="B18" s="29"/>
      <c r="C18" s="29"/>
      <c r="D18" s="29"/>
      <c r="E18" s="10"/>
      <c r="F18" s="10"/>
      <c r="G18" s="27"/>
    </row>
    <row r="19" spans="1:12" x14ac:dyDescent="0.2">
      <c r="A19" s="29"/>
      <c r="B19" s="29"/>
      <c r="C19" s="29"/>
      <c r="D19" s="29"/>
      <c r="E19" s="10"/>
      <c r="F19" s="10"/>
      <c r="G19" s="27"/>
    </row>
    <row r="20" spans="1:12" x14ac:dyDescent="0.2">
      <c r="A20" s="29"/>
      <c r="B20" s="29"/>
      <c r="C20" s="29"/>
      <c r="D20" s="29"/>
      <c r="E20" s="10"/>
      <c r="F20" s="10"/>
      <c r="G20" s="27"/>
    </row>
    <row r="21" spans="1:12" x14ac:dyDescent="0.2">
      <c r="A21" s="29"/>
      <c r="B21" s="29"/>
      <c r="C21" s="29"/>
      <c r="D21" s="29"/>
      <c r="E21" s="10"/>
      <c r="F21" s="10"/>
      <c r="G21" s="27"/>
    </row>
    <row r="22" spans="1:12" x14ac:dyDescent="0.2">
      <c r="A22" s="29"/>
      <c r="B22" s="29"/>
      <c r="C22" s="29"/>
      <c r="D22" s="29"/>
      <c r="E22" s="10"/>
      <c r="F22" s="10"/>
      <c r="G22" s="27"/>
    </row>
    <row r="23" spans="1:12" x14ac:dyDescent="0.2">
      <c r="A23" s="29"/>
      <c r="B23" s="29"/>
      <c r="C23" s="29"/>
      <c r="D23" s="29"/>
      <c r="E23" s="10"/>
      <c r="F23" s="10"/>
      <c r="G23" s="27"/>
    </row>
    <row r="24" spans="1:12" x14ac:dyDescent="0.2">
      <c r="A24" s="16"/>
      <c r="B24" s="16"/>
      <c r="C24" s="16"/>
      <c r="D24" s="16"/>
      <c r="E24" s="30"/>
      <c r="F24" s="26"/>
      <c r="G24" s="27"/>
    </row>
    <row r="25" spans="1:12" x14ac:dyDescent="0.2">
      <c r="A25" s="29"/>
      <c r="B25" s="29"/>
      <c r="C25" s="29"/>
      <c r="D25" s="29"/>
      <c r="E25" s="10"/>
      <c r="F25" s="10"/>
      <c r="G25" s="27"/>
      <c r="K25" s="18"/>
      <c r="L25" s="18"/>
    </row>
    <row r="26" spans="1:12" x14ac:dyDescent="0.2">
      <c r="A26" s="29"/>
      <c r="B26" s="29"/>
      <c r="C26" s="29"/>
      <c r="D26" s="29"/>
      <c r="E26" s="10"/>
      <c r="F26" s="10"/>
      <c r="G26" s="27"/>
      <c r="K26" s="18"/>
      <c r="L26" s="18"/>
    </row>
    <row r="27" spans="1:12" x14ac:dyDescent="0.2">
      <c r="A27" s="29"/>
      <c r="B27" s="29"/>
      <c r="C27" s="29"/>
      <c r="D27" s="29"/>
      <c r="E27" s="10"/>
      <c r="F27" s="10"/>
      <c r="G27" s="27"/>
      <c r="K27" s="17"/>
      <c r="L27" s="17"/>
    </row>
    <row r="28" spans="1:12" x14ac:dyDescent="0.2">
      <c r="A28" s="29"/>
      <c r="B28" s="29"/>
      <c r="C28" s="29"/>
      <c r="D28" s="29"/>
      <c r="E28" s="10"/>
      <c r="F28" s="10"/>
      <c r="G28" s="27"/>
      <c r="K28" s="16"/>
      <c r="L28" s="17"/>
    </row>
    <row r="29" spans="1:12" x14ac:dyDescent="0.2">
      <c r="A29" s="29"/>
      <c r="B29" s="29"/>
      <c r="C29" s="29"/>
      <c r="D29" s="29"/>
      <c r="E29" s="10"/>
      <c r="F29" s="10"/>
      <c r="G29" s="27"/>
      <c r="K29" s="23"/>
      <c r="L29" s="17"/>
    </row>
    <row r="30" spans="1:12" x14ac:dyDescent="0.2">
      <c r="A30" s="29"/>
      <c r="B30" s="29"/>
      <c r="C30" s="29"/>
      <c r="D30" s="29"/>
      <c r="E30" s="10"/>
      <c r="F30" s="10"/>
      <c r="G30" s="27"/>
      <c r="K30" s="24"/>
      <c r="L30" s="17"/>
    </row>
    <row r="31" spans="1:12" x14ac:dyDescent="0.2">
      <c r="A31" s="29"/>
      <c r="B31" s="29"/>
      <c r="C31" s="29"/>
      <c r="D31" s="29"/>
      <c r="E31" s="10"/>
      <c r="F31" s="10"/>
      <c r="G31" s="27"/>
      <c r="K31" s="18"/>
      <c r="L31" s="18"/>
    </row>
    <row r="32" spans="1:12" x14ac:dyDescent="0.2">
      <c r="A32" s="29"/>
      <c r="B32" s="29"/>
      <c r="C32" s="29"/>
      <c r="D32" s="29"/>
      <c r="E32" s="10"/>
      <c r="F32" s="10"/>
      <c r="G32" s="27"/>
      <c r="K32" s="18"/>
      <c r="L32" s="18"/>
    </row>
    <row r="33" spans="1:7" x14ac:dyDescent="0.2">
      <c r="A33" s="29"/>
      <c r="B33" s="29"/>
      <c r="C33" s="29"/>
      <c r="D33" s="29"/>
      <c r="E33" s="10"/>
      <c r="F33" s="10"/>
      <c r="G33" s="27"/>
    </row>
    <row r="34" spans="1:7" x14ac:dyDescent="0.2">
      <c r="A34" s="29"/>
      <c r="B34" s="29"/>
      <c r="C34" s="29"/>
      <c r="D34" s="29"/>
      <c r="E34" s="10"/>
      <c r="F34" s="10"/>
      <c r="G34" s="27"/>
    </row>
    <row r="35" spans="1:7" x14ac:dyDescent="0.2">
      <c r="A35" s="29"/>
      <c r="B35" s="29"/>
      <c r="C35" s="29"/>
      <c r="D35" s="29"/>
      <c r="E35" s="10"/>
      <c r="F35" s="10"/>
      <c r="G35" s="27"/>
    </row>
    <row r="36" spans="1:7" x14ac:dyDescent="0.2">
      <c r="A36" s="29"/>
      <c r="B36" s="29"/>
      <c r="C36" s="29"/>
      <c r="D36" s="29"/>
      <c r="E36" s="10"/>
      <c r="F36" s="10"/>
      <c r="G36" s="27"/>
    </row>
    <row r="37" spans="1:7" x14ac:dyDescent="0.2">
      <c r="A37" s="29"/>
      <c r="B37" s="29"/>
      <c r="C37" s="29"/>
      <c r="D37" s="29"/>
      <c r="E37" s="10"/>
      <c r="F37" s="10"/>
      <c r="G37" s="27"/>
    </row>
    <row r="38" spans="1:7" x14ac:dyDescent="0.2">
      <c r="A38" s="29"/>
      <c r="B38" s="29"/>
      <c r="C38" s="29"/>
      <c r="D38" s="29"/>
      <c r="E38" s="10"/>
      <c r="F38" s="10"/>
      <c r="G38" s="27"/>
    </row>
    <row r="39" spans="1:7" x14ac:dyDescent="0.2">
      <c r="A39" s="29"/>
      <c r="B39" s="29"/>
      <c r="C39" s="29"/>
      <c r="D39" s="29"/>
      <c r="E39" s="10"/>
      <c r="F39" s="10"/>
      <c r="G39" s="27"/>
    </row>
    <row r="40" spans="1:7" x14ac:dyDescent="0.2">
      <c r="A40" s="29"/>
      <c r="B40" s="29"/>
      <c r="C40" s="29"/>
      <c r="D40" s="29"/>
      <c r="E40" s="10"/>
      <c r="F40" s="10"/>
      <c r="G40" s="27"/>
    </row>
    <row r="41" spans="1:7" x14ac:dyDescent="0.2">
      <c r="A41" s="29"/>
      <c r="B41" s="29"/>
      <c r="C41" s="29"/>
      <c r="D41" s="29"/>
      <c r="E41" s="10"/>
      <c r="F41" s="10"/>
      <c r="G41" s="27"/>
    </row>
    <row r="42" spans="1:7" x14ac:dyDescent="0.2">
      <c r="A42" s="29"/>
      <c r="B42" s="29"/>
      <c r="C42" s="29"/>
      <c r="D42" s="29"/>
      <c r="E42" s="10"/>
      <c r="F42" s="10"/>
      <c r="G42" s="27"/>
    </row>
    <row r="43" spans="1:7" x14ac:dyDescent="0.2">
      <c r="A43" s="10"/>
      <c r="B43" s="10"/>
      <c r="C43" s="10"/>
      <c r="D43" s="10"/>
      <c r="E43" s="10"/>
      <c r="F43" s="10"/>
      <c r="G43" s="15"/>
    </row>
    <row r="44" spans="1:7" x14ac:dyDescent="0.2">
      <c r="A44" s="29"/>
      <c r="B44" s="29"/>
      <c r="C44" s="29"/>
      <c r="D44" s="29"/>
      <c r="E44" s="10"/>
      <c r="F44" s="10"/>
      <c r="G44" s="27"/>
    </row>
    <row r="45" spans="1:7" x14ac:dyDescent="0.2">
      <c r="G45" s="15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F46D-296C-FF45-AADA-69F6E376EFCC}">
  <dimension ref="A1:L25"/>
  <sheetViews>
    <sheetView workbookViewId="0">
      <selection activeCell="F26" sqref="F26"/>
    </sheetView>
  </sheetViews>
  <sheetFormatPr baseColWidth="10" defaultRowHeight="15" x14ac:dyDescent="0.2"/>
  <sheetData>
    <row r="1" spans="1:12" x14ac:dyDescent="0.2">
      <c r="A1" s="10" t="s">
        <v>146</v>
      </c>
      <c r="B1" s="41" t="s">
        <v>120</v>
      </c>
      <c r="C1" s="41"/>
      <c r="E1" s="11" t="s">
        <v>26</v>
      </c>
      <c r="F1" s="25">
        <v>10</v>
      </c>
      <c r="H1" t="s">
        <v>20</v>
      </c>
      <c r="I1" s="28">
        <v>0.4985</v>
      </c>
      <c r="J1" t="s">
        <v>8</v>
      </c>
      <c r="K1" s="28">
        <v>5.1499999999999997E-2</v>
      </c>
      <c r="L1" s="28">
        <v>0.10299999999999999</v>
      </c>
    </row>
    <row r="2" spans="1:12" x14ac:dyDescent="0.2">
      <c r="A2" s="13" t="s">
        <v>19</v>
      </c>
      <c r="B2" s="46"/>
      <c r="C2" s="46"/>
      <c r="E2" s="7" t="s">
        <v>10</v>
      </c>
      <c r="F2" s="25">
        <v>0.01</v>
      </c>
      <c r="G2" s="8"/>
      <c r="H2" t="s">
        <v>21</v>
      </c>
      <c r="I2" s="28">
        <v>0.502</v>
      </c>
      <c r="J2" t="s">
        <v>9</v>
      </c>
      <c r="K2" s="28"/>
      <c r="L2" s="28"/>
    </row>
    <row r="3" spans="1:12" x14ac:dyDescent="0.2">
      <c r="A3" s="10" t="s">
        <v>146</v>
      </c>
      <c r="B3" s="41" t="s">
        <v>120</v>
      </c>
      <c r="C3" s="41"/>
      <c r="E3" s="11" t="s">
        <v>26</v>
      </c>
      <c r="F3" s="25">
        <v>10</v>
      </c>
      <c r="H3" t="s">
        <v>20</v>
      </c>
      <c r="I3" s="28">
        <v>0.4985</v>
      </c>
      <c r="J3" t="s">
        <v>8</v>
      </c>
      <c r="K3" s="28">
        <v>5.1499999999999997E-2</v>
      </c>
      <c r="L3" s="28">
        <v>0.10299999999999999</v>
      </c>
    </row>
    <row r="4" spans="1:12" x14ac:dyDescent="0.2">
      <c r="A4" s="13" t="s">
        <v>19</v>
      </c>
      <c r="B4" s="46"/>
      <c r="C4" s="46"/>
      <c r="E4" s="7" t="s">
        <v>10</v>
      </c>
      <c r="F4" s="25">
        <v>0.01</v>
      </c>
      <c r="G4" s="8"/>
      <c r="H4" t="s">
        <v>21</v>
      </c>
      <c r="I4" s="28">
        <v>0.502</v>
      </c>
      <c r="J4" t="s">
        <v>9</v>
      </c>
      <c r="K4" s="28"/>
      <c r="L4" s="28"/>
    </row>
    <row r="5" spans="1:12" x14ac:dyDescent="0.2">
      <c r="A5" s="13" t="s">
        <v>7</v>
      </c>
      <c r="B5" s="34">
        <v>43653</v>
      </c>
      <c r="C5" s="33"/>
      <c r="E5" s="7" t="s">
        <v>25</v>
      </c>
      <c r="F5" s="26">
        <f>AVERAGE(I3:I6)</f>
        <v>0.501</v>
      </c>
      <c r="G5" s="8"/>
      <c r="H5" t="s">
        <v>22</v>
      </c>
      <c r="I5" s="28">
        <v>0.50249999999999995</v>
      </c>
      <c r="K5" s="15"/>
    </row>
    <row r="6" spans="1:12" x14ac:dyDescent="0.2">
      <c r="A6" s="12" t="s">
        <v>0</v>
      </c>
      <c r="B6" s="33" t="s">
        <v>123</v>
      </c>
      <c r="C6" s="33"/>
      <c r="E6" s="21" t="s">
        <v>24</v>
      </c>
      <c r="F6" s="23">
        <f>AVERAGE(L3-K3, L4-K4)</f>
        <v>2.5749999999999999E-2</v>
      </c>
      <c r="G6" s="22"/>
      <c r="H6" t="s">
        <v>23</v>
      </c>
      <c r="I6" s="28"/>
    </row>
    <row r="7" spans="1:12" x14ac:dyDescent="0.2">
      <c r="A7" s="10"/>
      <c r="B7" s="10"/>
      <c r="C7" s="10"/>
      <c r="D7" s="10"/>
      <c r="E7" s="10"/>
      <c r="F7" s="12"/>
      <c r="G7" s="12"/>
      <c r="H7" s="19"/>
      <c r="I7" s="20"/>
    </row>
    <row r="8" spans="1:12" x14ac:dyDescent="0.2">
      <c r="G8" s="1"/>
      <c r="H8" s="1"/>
      <c r="I8" s="2"/>
    </row>
    <row r="9" spans="1:12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35" t="s">
        <v>13</v>
      </c>
      <c r="H9" s="36"/>
      <c r="I9" s="5" t="s">
        <v>4</v>
      </c>
      <c r="J9" s="5"/>
    </row>
    <row r="10" spans="1:12" ht="16" thickBot="1" x14ac:dyDescent="0.25">
      <c r="A10" s="3" t="s">
        <v>16</v>
      </c>
      <c r="B10" s="3" t="s">
        <v>14</v>
      </c>
      <c r="C10" s="3" t="s">
        <v>11</v>
      </c>
      <c r="D10" s="3"/>
      <c r="E10" s="3" t="s">
        <v>5</v>
      </c>
      <c r="F10" s="4" t="s">
        <v>5</v>
      </c>
      <c r="G10" s="9" t="s">
        <v>6</v>
      </c>
      <c r="H10" s="6"/>
    </row>
    <row r="11" spans="1:12" ht="16" thickTop="1" x14ac:dyDescent="0.2">
      <c r="A11" s="29" t="s">
        <v>37</v>
      </c>
      <c r="B11" s="29" t="s">
        <v>59</v>
      </c>
      <c r="C11" s="29" t="s">
        <v>137</v>
      </c>
      <c r="D11" s="29" t="s">
        <v>89</v>
      </c>
      <c r="E11" s="10">
        <v>133.08000000000001</v>
      </c>
      <c r="F11" s="10">
        <v>0.66449999999999998</v>
      </c>
      <c r="G11" s="31">
        <f>(((((F11-$F$6)*$F$3*$F$4*5598)/($F$5-$F$6))-1000*0.0017)/(E11-2))</f>
        <v>5.7269430171583062</v>
      </c>
    </row>
    <row r="12" spans="1:12" x14ac:dyDescent="0.2">
      <c r="A12" s="29" t="s">
        <v>37</v>
      </c>
      <c r="B12" s="29" t="s">
        <v>125</v>
      </c>
      <c r="C12" s="29" t="s">
        <v>137</v>
      </c>
      <c r="D12" s="29" t="s">
        <v>88</v>
      </c>
      <c r="E12" s="10">
        <v>135.97999999999999</v>
      </c>
      <c r="F12" s="10">
        <v>0.68899999999999995</v>
      </c>
      <c r="G12" s="31">
        <f t="shared" ref="G12:G25" si="0">(((((F12-$F$6)*$F$3*$F$4*5598)/($F$5-$F$6))-1000*0.0017)/(E12-2))</f>
        <v>5.8183788373887939</v>
      </c>
    </row>
    <row r="13" spans="1:12" x14ac:dyDescent="0.2">
      <c r="A13" s="29" t="s">
        <v>37</v>
      </c>
      <c r="B13" s="29" t="s">
        <v>147</v>
      </c>
      <c r="C13" s="29" t="s">
        <v>149</v>
      </c>
      <c r="D13" s="29" t="s">
        <v>86</v>
      </c>
      <c r="E13" s="10">
        <v>133.88</v>
      </c>
      <c r="F13" s="10">
        <v>0.78200000000000003</v>
      </c>
      <c r="G13" s="31">
        <f t="shared" si="0"/>
        <v>6.7416718879659943</v>
      </c>
    </row>
    <row r="14" spans="1:12" x14ac:dyDescent="0.2">
      <c r="A14" s="29" t="s">
        <v>37</v>
      </c>
      <c r="B14" s="29" t="s">
        <v>148</v>
      </c>
      <c r="C14" s="29" t="s">
        <v>149</v>
      </c>
      <c r="D14" s="29" t="s">
        <v>85</v>
      </c>
      <c r="E14" s="13">
        <v>134.69</v>
      </c>
      <c r="F14" s="13">
        <v>0.78</v>
      </c>
      <c r="G14" s="31">
        <f t="shared" si="0"/>
        <v>6.6827634023273275</v>
      </c>
    </row>
    <row r="15" spans="1:12" x14ac:dyDescent="0.2">
      <c r="A15" s="29" t="s">
        <v>37</v>
      </c>
      <c r="B15" s="29" t="s">
        <v>91</v>
      </c>
      <c r="C15" s="29" t="s">
        <v>91</v>
      </c>
      <c r="D15" s="29" t="s">
        <v>84</v>
      </c>
      <c r="E15" s="13">
        <v>135.01</v>
      </c>
      <c r="F15" s="13">
        <v>0.77600000000000002</v>
      </c>
      <c r="G15" s="31">
        <f t="shared" si="0"/>
        <v>6.6312626899821749</v>
      </c>
    </row>
    <row r="16" spans="1:12" x14ac:dyDescent="0.2">
      <c r="A16" s="29" t="s">
        <v>37</v>
      </c>
      <c r="B16" s="29" t="s">
        <v>43</v>
      </c>
      <c r="C16" s="29" t="s">
        <v>91</v>
      </c>
      <c r="D16" s="29" t="s">
        <v>82</v>
      </c>
      <c r="E16" s="13">
        <v>134.69999999999999</v>
      </c>
      <c r="F16" s="13">
        <v>0.77300000000000002</v>
      </c>
      <c r="G16" s="31">
        <f t="shared" si="0"/>
        <v>6.6201245764831667</v>
      </c>
    </row>
    <row r="17" spans="1:7" x14ac:dyDescent="0.2">
      <c r="A17" s="29"/>
      <c r="B17" s="29"/>
      <c r="C17" s="29"/>
      <c r="D17" s="29"/>
      <c r="E17" s="10"/>
      <c r="F17" s="10"/>
      <c r="G17" s="31"/>
    </row>
    <row r="18" spans="1:7" x14ac:dyDescent="0.2">
      <c r="A18" s="29" t="s">
        <v>135</v>
      </c>
      <c r="B18" s="29" t="s">
        <v>67</v>
      </c>
      <c r="C18" s="29" t="s">
        <v>150</v>
      </c>
      <c r="D18" s="29" t="s">
        <v>151</v>
      </c>
      <c r="E18" s="13">
        <v>135.53</v>
      </c>
      <c r="F18" s="13">
        <v>0.20849999999999999</v>
      </c>
      <c r="G18" s="31">
        <f t="shared" si="0"/>
        <v>1.5993588573109268</v>
      </c>
    </row>
    <row r="19" spans="1:7" x14ac:dyDescent="0.2">
      <c r="A19">
        <v>14</v>
      </c>
      <c r="B19">
        <v>3</v>
      </c>
      <c r="C19">
        <v>2400</v>
      </c>
      <c r="D19">
        <v>467</v>
      </c>
      <c r="E19" s="13">
        <v>131.22</v>
      </c>
      <c r="F19" s="13">
        <v>0.20349999999999999</v>
      </c>
      <c r="G19" s="31">
        <f t="shared" si="0"/>
        <v>1.6071262683127454</v>
      </c>
    </row>
    <row r="20" spans="1:7" x14ac:dyDescent="0.2">
      <c r="A20">
        <v>14</v>
      </c>
      <c r="B20">
        <v>8</v>
      </c>
      <c r="C20">
        <v>900</v>
      </c>
      <c r="D20">
        <v>464</v>
      </c>
      <c r="E20" s="13">
        <v>135.04</v>
      </c>
      <c r="F20" s="13">
        <v>2.8500000000000001E-2</v>
      </c>
      <c r="G20" s="31">
        <f t="shared" si="0"/>
        <v>1.1569772278602638E-2</v>
      </c>
    </row>
    <row r="21" spans="1:7" x14ac:dyDescent="0.2">
      <c r="A21">
        <v>14</v>
      </c>
      <c r="B21">
        <v>8</v>
      </c>
      <c r="C21">
        <v>900</v>
      </c>
      <c r="D21">
        <v>468</v>
      </c>
      <c r="E21" s="13">
        <v>134.65</v>
      </c>
      <c r="F21" s="13">
        <v>2.8000000000000001E-2</v>
      </c>
      <c r="G21" s="31">
        <f t="shared" si="0"/>
        <v>7.1638848202773249E-3</v>
      </c>
    </row>
    <row r="22" spans="1:7" x14ac:dyDescent="0.2">
      <c r="A22">
        <v>14</v>
      </c>
      <c r="B22">
        <v>9</v>
      </c>
      <c r="C22">
        <v>900</v>
      </c>
      <c r="D22" t="s">
        <v>152</v>
      </c>
      <c r="E22" s="13">
        <v>144.97999999999999</v>
      </c>
      <c r="F22" s="13">
        <v>3.2000000000000001E-2</v>
      </c>
      <c r="G22" s="31">
        <f t="shared" si="0"/>
        <v>3.9599348032548956E-2</v>
      </c>
    </row>
    <row r="23" spans="1:7" x14ac:dyDescent="0.2">
      <c r="A23">
        <v>14</v>
      </c>
      <c r="B23">
        <v>9</v>
      </c>
      <c r="C23">
        <v>900</v>
      </c>
      <c r="D23">
        <v>470</v>
      </c>
      <c r="E23" s="13">
        <v>132.75</v>
      </c>
      <c r="F23" s="13">
        <v>2.6499999999999999E-2</v>
      </c>
      <c r="G23" s="31">
        <f t="shared" si="0"/>
        <v>-6.2452789766480887E-3</v>
      </c>
    </row>
    <row r="24" spans="1:7" x14ac:dyDescent="0.2">
      <c r="A24">
        <v>14</v>
      </c>
      <c r="B24">
        <v>18</v>
      </c>
      <c r="C24">
        <v>75</v>
      </c>
      <c r="D24">
        <v>465</v>
      </c>
      <c r="E24" s="13">
        <v>135.05000000000001</v>
      </c>
      <c r="F24" s="13">
        <v>0.77649999999999997</v>
      </c>
      <c r="G24" s="31">
        <f t="shared" si="0"/>
        <v>6.6336956300418226</v>
      </c>
    </row>
    <row r="25" spans="1:7" x14ac:dyDescent="0.2">
      <c r="A25">
        <v>14</v>
      </c>
      <c r="B25">
        <v>18</v>
      </c>
      <c r="C25">
        <v>75</v>
      </c>
      <c r="D25">
        <v>469</v>
      </c>
      <c r="E25" s="13">
        <v>131.24</v>
      </c>
      <c r="F25" s="13">
        <v>0.752</v>
      </c>
      <c r="G25" s="31">
        <f t="shared" si="0"/>
        <v>6.6059617582236507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4743-2432-B943-A215-9614AEFC97B1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248A1-46D1-014B-94C0-1CE5595BC87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71A5-4964-D446-9661-78CCE752B325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43FE4-A212-4F4E-8939-A9B2B0FA2A32}">
  <dimension ref="A2:L22"/>
  <sheetViews>
    <sheetView workbookViewId="0">
      <selection activeCell="C19" sqref="C19"/>
    </sheetView>
  </sheetViews>
  <sheetFormatPr baseColWidth="10" defaultColWidth="11" defaultRowHeight="15" x14ac:dyDescent="0.2"/>
  <sheetData>
    <row r="2" spans="1:12" x14ac:dyDescent="0.2">
      <c r="K2" t="s">
        <v>62</v>
      </c>
      <c r="L2" t="s">
        <v>63</v>
      </c>
    </row>
    <row r="3" spans="1:12" x14ac:dyDescent="0.2">
      <c r="A3" s="10" t="s">
        <v>18</v>
      </c>
      <c r="B3" s="41" t="s">
        <v>120</v>
      </c>
      <c r="C3" s="41"/>
      <c r="E3" s="11" t="s">
        <v>26</v>
      </c>
      <c r="F3" s="25">
        <v>10</v>
      </c>
      <c r="H3" t="s">
        <v>20</v>
      </c>
      <c r="I3" s="28">
        <v>0.503</v>
      </c>
      <c r="J3" t="s">
        <v>8</v>
      </c>
      <c r="K3" s="28">
        <v>5.3499999999999999E-2</v>
      </c>
      <c r="L3" s="28">
        <v>0.1055</v>
      </c>
    </row>
    <row r="4" spans="1:12" x14ac:dyDescent="0.2">
      <c r="A4" s="13" t="s">
        <v>19</v>
      </c>
      <c r="B4" s="42"/>
      <c r="C4" s="42"/>
      <c r="E4" s="7" t="s">
        <v>10</v>
      </c>
      <c r="F4" s="25">
        <v>0.01</v>
      </c>
      <c r="G4" s="8"/>
      <c r="H4" t="s">
        <v>21</v>
      </c>
      <c r="I4" s="28">
        <v>0.505</v>
      </c>
      <c r="J4" t="s">
        <v>9</v>
      </c>
      <c r="K4" s="28"/>
      <c r="L4" s="28"/>
    </row>
    <row r="5" spans="1:12" x14ac:dyDescent="0.2">
      <c r="A5" s="13" t="s">
        <v>7</v>
      </c>
      <c r="B5" s="43" t="s">
        <v>121</v>
      </c>
      <c r="C5" s="42"/>
      <c r="E5" s="7" t="s">
        <v>25</v>
      </c>
      <c r="F5" s="26">
        <f>AVERAGE(I3:I6)</f>
        <v>0.50466666666666671</v>
      </c>
      <c r="G5" s="8"/>
      <c r="H5" t="s">
        <v>22</v>
      </c>
      <c r="I5" s="28">
        <v>0.50600000000000001</v>
      </c>
      <c r="K5" s="15"/>
    </row>
    <row r="6" spans="1:12" x14ac:dyDescent="0.2">
      <c r="A6" s="12" t="s">
        <v>0</v>
      </c>
      <c r="B6" s="42" t="s">
        <v>122</v>
      </c>
      <c r="C6" s="42"/>
      <c r="E6" s="21" t="s">
        <v>24</v>
      </c>
      <c r="F6" s="23">
        <f>AVERAGE(L3-K3, L4-K4)</f>
        <v>2.5999999999999999E-2</v>
      </c>
      <c r="G6" s="22"/>
      <c r="H6" t="s">
        <v>23</v>
      </c>
      <c r="I6" s="28"/>
    </row>
    <row r="7" spans="1:12" x14ac:dyDescent="0.2">
      <c r="A7" s="10"/>
      <c r="B7" s="10"/>
      <c r="C7" s="10"/>
      <c r="D7" s="10"/>
      <c r="E7" s="10"/>
      <c r="F7" s="12"/>
      <c r="G7" s="12"/>
      <c r="H7" s="19"/>
      <c r="I7" s="20"/>
    </row>
    <row r="8" spans="1:12" x14ac:dyDescent="0.2">
      <c r="G8" s="1"/>
      <c r="H8" s="1"/>
      <c r="I8" s="2"/>
    </row>
    <row r="9" spans="1:12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2" ht="16" thickBot="1" x14ac:dyDescent="0.25">
      <c r="A10" s="3" t="s">
        <v>16</v>
      </c>
      <c r="B10" s="3" t="s">
        <v>14</v>
      </c>
      <c r="C10" s="3" t="s">
        <v>11</v>
      </c>
      <c r="D10" s="3"/>
      <c r="E10" s="3" t="s">
        <v>5</v>
      </c>
      <c r="F10" s="4" t="s">
        <v>5</v>
      </c>
      <c r="G10" s="9" t="s">
        <v>6</v>
      </c>
      <c r="H10" s="6"/>
    </row>
    <row r="11" spans="1:12" ht="16" thickTop="1" x14ac:dyDescent="0.2">
      <c r="A11" s="29" t="s">
        <v>100</v>
      </c>
      <c r="B11" s="29" t="s">
        <v>31</v>
      </c>
      <c r="C11" s="29" t="s">
        <v>105</v>
      </c>
      <c r="D11" s="29" t="s">
        <v>107</v>
      </c>
      <c r="E11" s="10">
        <v>130.19</v>
      </c>
      <c r="F11" s="10">
        <v>0.221</v>
      </c>
      <c r="G11" s="31">
        <f t="shared" ref="G11:G20" si="0">(((((F11-$F$6)*$F$3*$F$4*5598)/($F$5-$F$6))-1000*0.0017)/(E11-2))</f>
        <v>1.7657557407930127</v>
      </c>
    </row>
    <row r="12" spans="1:12" x14ac:dyDescent="0.2">
      <c r="A12" s="29" t="s">
        <v>100</v>
      </c>
      <c r="B12" s="29" t="s">
        <v>102</v>
      </c>
      <c r="C12" s="29" t="s">
        <v>105</v>
      </c>
      <c r="D12" s="29" t="s">
        <v>108</v>
      </c>
      <c r="E12" s="10">
        <v>132.4</v>
      </c>
      <c r="F12" s="10">
        <v>0.22500000000000001</v>
      </c>
      <c r="G12" s="31">
        <f t="shared" si="0"/>
        <v>1.7717041628928347</v>
      </c>
    </row>
    <row r="13" spans="1:12" x14ac:dyDescent="0.2">
      <c r="A13" s="29" t="s">
        <v>101</v>
      </c>
      <c r="B13" s="29" t="s">
        <v>103</v>
      </c>
      <c r="C13" s="29" t="s">
        <v>106</v>
      </c>
      <c r="D13" s="29" t="s">
        <v>109</v>
      </c>
      <c r="E13" s="10">
        <v>132.79</v>
      </c>
      <c r="F13" s="10">
        <v>0.1545</v>
      </c>
      <c r="G13" s="31">
        <f t="shared" si="0"/>
        <v>1.136023939373352</v>
      </c>
    </row>
    <row r="14" spans="1:12" x14ac:dyDescent="0.2">
      <c r="A14" s="29" t="s">
        <v>101</v>
      </c>
      <c r="B14" s="29" t="s">
        <v>104</v>
      </c>
      <c r="C14" s="29" t="s">
        <v>106</v>
      </c>
      <c r="D14" s="29" t="s">
        <v>110</v>
      </c>
      <c r="E14" s="10">
        <v>132.80000000000001</v>
      </c>
      <c r="F14" s="13">
        <v>0.24</v>
      </c>
      <c r="G14" s="31">
        <f t="shared" si="0"/>
        <v>1.9004029201059691</v>
      </c>
    </row>
    <row r="15" spans="1:12" x14ac:dyDescent="0.2">
      <c r="A15" s="29" t="s">
        <v>144</v>
      </c>
      <c r="B15" s="29" t="s">
        <v>103</v>
      </c>
      <c r="C15" s="29" t="s">
        <v>145</v>
      </c>
      <c r="D15" s="29" t="s">
        <v>111</v>
      </c>
      <c r="E15" s="10">
        <v>134.51</v>
      </c>
      <c r="F15" s="13">
        <v>0.2465</v>
      </c>
      <c r="G15" s="31">
        <f t="shared" si="0"/>
        <v>1.9332461164963848</v>
      </c>
    </row>
    <row r="16" spans="1:12" x14ac:dyDescent="0.2">
      <c r="A16" s="29" t="s">
        <v>144</v>
      </c>
      <c r="B16" s="29" t="s">
        <v>104</v>
      </c>
      <c r="C16" s="29" t="s">
        <v>145</v>
      </c>
      <c r="D16" s="29" t="s">
        <v>112</v>
      </c>
      <c r="E16" s="10">
        <v>140.56</v>
      </c>
      <c r="F16" s="13">
        <v>0.25740000000000002</v>
      </c>
      <c r="G16" s="31">
        <f t="shared" si="0"/>
        <v>1.9408341347854898</v>
      </c>
    </row>
    <row r="17" spans="1:7" x14ac:dyDescent="0.2">
      <c r="A17" s="29" t="s">
        <v>52</v>
      </c>
      <c r="B17" s="29" t="s">
        <v>31</v>
      </c>
      <c r="C17" s="29" t="s">
        <v>113</v>
      </c>
      <c r="D17" s="29" t="s">
        <v>116</v>
      </c>
      <c r="E17" s="10">
        <v>142.51</v>
      </c>
      <c r="F17" s="13">
        <v>6.6000000000000003E-2</v>
      </c>
      <c r="G17" s="31">
        <f t="shared" si="0"/>
        <v>0.32083086107532277</v>
      </c>
    </row>
    <row r="18" spans="1:7" x14ac:dyDescent="0.2">
      <c r="A18" s="29" t="s">
        <v>52</v>
      </c>
      <c r="B18" s="29" t="s">
        <v>67</v>
      </c>
      <c r="C18" s="29" t="s">
        <v>114</v>
      </c>
      <c r="D18" s="29" t="s">
        <v>117</v>
      </c>
      <c r="E18" s="10">
        <v>128.19</v>
      </c>
      <c r="F18" s="13">
        <v>0.1215</v>
      </c>
      <c r="G18" s="31">
        <f t="shared" si="0"/>
        <v>0.87159931049721417</v>
      </c>
    </row>
    <row r="19" spans="1:7" x14ac:dyDescent="0.2">
      <c r="A19" s="29" t="s">
        <v>52</v>
      </c>
      <c r="B19" s="29" t="s">
        <v>67</v>
      </c>
      <c r="C19" s="29" t="s">
        <v>114</v>
      </c>
      <c r="D19" s="29" t="s">
        <v>118</v>
      </c>
      <c r="E19" s="10">
        <v>127.71</v>
      </c>
      <c r="F19" s="13">
        <v>0.1215</v>
      </c>
      <c r="G19" s="31">
        <f t="shared" si="0"/>
        <v>0.8749273485931387</v>
      </c>
    </row>
    <row r="20" spans="1:7" x14ac:dyDescent="0.2">
      <c r="A20" s="29" t="s">
        <v>52</v>
      </c>
      <c r="B20" s="29" t="s">
        <v>40</v>
      </c>
      <c r="C20" s="29" t="s">
        <v>115</v>
      </c>
      <c r="D20" s="29" t="s">
        <v>119</v>
      </c>
      <c r="E20" s="10">
        <v>136.66999999999999</v>
      </c>
      <c r="F20" s="13">
        <v>0.48349999999999999</v>
      </c>
      <c r="G20" s="31">
        <f t="shared" si="0"/>
        <v>3.9603891944261553</v>
      </c>
    </row>
    <row r="21" spans="1:7" x14ac:dyDescent="0.2">
      <c r="A21" s="29"/>
      <c r="B21" s="29"/>
      <c r="C21" s="29"/>
      <c r="D21" s="29"/>
      <c r="E21" s="10"/>
      <c r="F21" s="10"/>
      <c r="G21" s="27"/>
    </row>
    <row r="22" spans="1:7" x14ac:dyDescent="0.2">
      <c r="A22" s="29"/>
      <c r="B22" s="29"/>
      <c r="C22" s="29"/>
      <c r="D22" s="29"/>
      <c r="E22" s="10"/>
      <c r="F22" s="10"/>
      <c r="G22" s="27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3A2F-5324-4390-B404-0EAE542AA8B8}">
  <dimension ref="A2:N45"/>
  <sheetViews>
    <sheetView workbookViewId="0">
      <selection activeCell="I17" sqref="I17"/>
    </sheetView>
  </sheetViews>
  <sheetFormatPr baseColWidth="10" defaultColWidth="8.83203125" defaultRowHeight="15" x14ac:dyDescent="0.2"/>
  <cols>
    <col min="1" max="2" width="11.5" customWidth="1"/>
    <col min="3" max="3" width="12.5" customWidth="1"/>
    <col min="4" max="4" width="14" customWidth="1"/>
    <col min="5" max="6" width="16.6640625" bestFit="1" customWidth="1"/>
    <col min="7" max="7" width="15" customWidth="1"/>
    <col min="8" max="8" width="11.33203125" customWidth="1"/>
    <col min="9" max="9" width="13.5" customWidth="1"/>
    <col min="10" max="10" width="10.6640625" customWidth="1"/>
    <col min="11" max="11" width="16" bestFit="1" customWidth="1"/>
    <col min="12" max="12" width="14.33203125" customWidth="1"/>
    <col min="13" max="13" width="10.1640625" bestFit="1" customWidth="1"/>
    <col min="15" max="15" width="12" bestFit="1" customWidth="1"/>
  </cols>
  <sheetData>
    <row r="2" spans="1:14" x14ac:dyDescent="0.2">
      <c r="K2" t="s">
        <v>62</v>
      </c>
      <c r="L2" t="s">
        <v>63</v>
      </c>
    </row>
    <row r="3" spans="1:14" x14ac:dyDescent="0.2">
      <c r="A3" s="10" t="s">
        <v>18</v>
      </c>
      <c r="B3" s="41" t="s">
        <v>120</v>
      </c>
      <c r="C3" s="41"/>
      <c r="E3" s="11" t="s">
        <v>26</v>
      </c>
      <c r="F3" s="25">
        <v>10</v>
      </c>
      <c r="H3" t="s">
        <v>20</v>
      </c>
      <c r="I3" s="28">
        <v>0.4945</v>
      </c>
      <c r="J3" t="s">
        <v>8</v>
      </c>
      <c r="K3" s="28">
        <v>5.0500000000000003E-2</v>
      </c>
      <c r="L3" s="28">
        <v>0.10199999999999999</v>
      </c>
    </row>
    <row r="4" spans="1:14" x14ac:dyDescent="0.2">
      <c r="A4" s="13" t="s">
        <v>19</v>
      </c>
      <c r="B4" s="42"/>
      <c r="C4" s="42"/>
      <c r="E4" s="7" t="s">
        <v>10</v>
      </c>
      <c r="F4" s="25">
        <v>0.01</v>
      </c>
      <c r="G4" s="8"/>
      <c r="H4" t="s">
        <v>21</v>
      </c>
      <c r="I4" s="28">
        <v>0.50349999999999995</v>
      </c>
      <c r="J4" t="s">
        <v>9</v>
      </c>
      <c r="K4" s="28"/>
      <c r="L4" s="28"/>
    </row>
    <row r="5" spans="1:14" x14ac:dyDescent="0.2">
      <c r="A5" s="13" t="s">
        <v>7</v>
      </c>
      <c r="B5" s="43">
        <v>43644</v>
      </c>
      <c r="C5" s="42"/>
      <c r="E5" s="7" t="s">
        <v>25</v>
      </c>
      <c r="F5" s="26">
        <f>AVERAGE(I3:I6)</f>
        <v>0.50337500000000002</v>
      </c>
      <c r="G5" s="8"/>
      <c r="H5" t="s">
        <v>22</v>
      </c>
      <c r="I5" s="28">
        <v>0.50749999999999995</v>
      </c>
      <c r="K5" s="15"/>
    </row>
    <row r="6" spans="1:14" x14ac:dyDescent="0.2">
      <c r="A6" s="12" t="s">
        <v>0</v>
      </c>
      <c r="B6" s="42" t="s">
        <v>123</v>
      </c>
      <c r="C6" s="42"/>
      <c r="E6" s="21" t="s">
        <v>24</v>
      </c>
      <c r="F6" s="23">
        <f>AVERAGE(L3-K3, L4-K4)</f>
        <v>2.5749999999999995E-2</v>
      </c>
      <c r="G6" s="22"/>
      <c r="H6" t="s">
        <v>23</v>
      </c>
      <c r="I6" s="28">
        <v>0.50800000000000001</v>
      </c>
    </row>
    <row r="7" spans="1:14" x14ac:dyDescent="0.2">
      <c r="A7" s="10"/>
      <c r="B7" s="10"/>
      <c r="C7" s="10"/>
      <c r="D7" s="10"/>
      <c r="E7" s="10"/>
      <c r="F7" s="12"/>
      <c r="G7" s="12"/>
      <c r="H7" s="19"/>
      <c r="I7" s="20"/>
    </row>
    <row r="8" spans="1:14" x14ac:dyDescent="0.2">
      <c r="G8" s="1"/>
      <c r="H8" s="1"/>
      <c r="I8" s="2"/>
    </row>
    <row r="9" spans="1:14" x14ac:dyDescent="0.2">
      <c r="A9" s="3" t="s">
        <v>17</v>
      </c>
      <c r="B9" s="3" t="s">
        <v>15</v>
      </c>
      <c r="C9" s="3" t="s">
        <v>12</v>
      </c>
      <c r="D9" s="3" t="s">
        <v>1</v>
      </c>
      <c r="E9" s="3" t="s">
        <v>2</v>
      </c>
      <c r="F9" s="4" t="s">
        <v>3</v>
      </c>
      <c r="G9" s="44" t="s">
        <v>13</v>
      </c>
      <c r="H9" s="45"/>
      <c r="I9" s="5" t="s">
        <v>4</v>
      </c>
      <c r="J9" s="5"/>
    </row>
    <row r="10" spans="1:14" ht="16" thickBot="1" x14ac:dyDescent="0.25">
      <c r="A10" s="3" t="s">
        <v>16</v>
      </c>
      <c r="B10" s="3" t="s">
        <v>14</v>
      </c>
      <c r="C10" s="3" t="s">
        <v>11</v>
      </c>
      <c r="D10" s="3"/>
      <c r="E10" s="3" t="s">
        <v>5</v>
      </c>
      <c r="F10" s="4" t="s">
        <v>5</v>
      </c>
      <c r="G10" s="9" t="s">
        <v>6</v>
      </c>
      <c r="H10" s="6"/>
    </row>
    <row r="11" spans="1:14" ht="16" thickTop="1" x14ac:dyDescent="0.2">
      <c r="A11" s="29"/>
      <c r="B11" s="29"/>
      <c r="C11" s="29"/>
      <c r="D11" s="29"/>
      <c r="E11" s="10"/>
      <c r="F11" s="10"/>
      <c r="G11" s="31"/>
      <c r="N11" s="14"/>
    </row>
    <row r="12" spans="1:14" ht="16" thickTop="1" x14ac:dyDescent="0.2">
      <c r="A12" s="29" t="s">
        <v>124</v>
      </c>
      <c r="B12" s="29" t="s">
        <v>56</v>
      </c>
      <c r="C12" s="29" t="s">
        <v>126</v>
      </c>
      <c r="D12" s="29" t="s">
        <v>129</v>
      </c>
      <c r="E12" s="10">
        <v>133.08000000000001</v>
      </c>
      <c r="F12" s="10">
        <v>0.78549999999999998</v>
      </c>
      <c r="G12" s="31">
        <f t="shared" ref="G12:G24" si="0">(((((F12-$F$6)*$F$3*$F$4*5598)/($F$5-$F$6))-1000*0.0017)/(E12-2))</f>
        <v>6.7803202704614005</v>
      </c>
    </row>
    <row r="13" spans="1:14" x14ac:dyDescent="0.2">
      <c r="A13" s="29" t="s">
        <v>124</v>
      </c>
      <c r="B13" s="29" t="s">
        <v>53</v>
      </c>
      <c r="C13" s="29" t="s">
        <v>126</v>
      </c>
      <c r="D13" s="29" t="s">
        <v>130</v>
      </c>
      <c r="E13" s="10">
        <v>135.97999999999999</v>
      </c>
      <c r="F13" s="10">
        <v>0.79749999999999999</v>
      </c>
      <c r="G13" s="31">
        <f t="shared" si="0"/>
        <v>6.7385353894121227</v>
      </c>
    </row>
    <row r="14" spans="1:14" x14ac:dyDescent="0.2">
      <c r="A14" s="29" t="s">
        <v>124</v>
      </c>
      <c r="B14" s="29" t="s">
        <v>125</v>
      </c>
      <c r="C14" s="29" t="s">
        <v>127</v>
      </c>
      <c r="D14" s="29" t="s">
        <v>131</v>
      </c>
      <c r="E14" s="10">
        <v>133.88</v>
      </c>
      <c r="F14" s="10">
        <v>0.34100000000000003</v>
      </c>
      <c r="G14" s="31">
        <f t="shared" si="0"/>
        <v>2.7888118809602003</v>
      </c>
    </row>
    <row r="15" spans="1:14" x14ac:dyDescent="0.2">
      <c r="A15" s="29" t="s">
        <v>124</v>
      </c>
      <c r="B15" s="29" t="s">
        <v>59</v>
      </c>
      <c r="C15" s="29" t="s">
        <v>127</v>
      </c>
      <c r="D15" s="29" t="s">
        <v>132</v>
      </c>
      <c r="E15" s="13">
        <v>134.69</v>
      </c>
      <c r="F15" s="10">
        <v>0.34649999999999997</v>
      </c>
      <c r="G15" s="31">
        <f t="shared" si="0"/>
        <v>2.8203691421419785</v>
      </c>
      <c r="N15" s="14"/>
    </row>
    <row r="16" spans="1:14" x14ac:dyDescent="0.2">
      <c r="A16" s="29" t="s">
        <v>124</v>
      </c>
      <c r="B16" s="29" t="s">
        <v>72</v>
      </c>
      <c r="C16" s="29" t="s">
        <v>128</v>
      </c>
      <c r="D16" s="29" t="s">
        <v>133</v>
      </c>
      <c r="E16" s="13">
        <v>135.01</v>
      </c>
      <c r="F16" s="10">
        <v>0.255</v>
      </c>
      <c r="G16" s="31">
        <f t="shared" si="0"/>
        <v>2.0073098226297437</v>
      </c>
    </row>
    <row r="17" spans="1:12" x14ac:dyDescent="0.2">
      <c r="A17" s="29" t="s">
        <v>124</v>
      </c>
      <c r="B17" s="29" t="s">
        <v>47</v>
      </c>
      <c r="C17" s="29" t="s">
        <v>128</v>
      </c>
      <c r="D17" s="29" t="s">
        <v>134</v>
      </c>
      <c r="E17" s="13">
        <v>134.69999999999999</v>
      </c>
      <c r="F17" s="10">
        <v>0.246</v>
      </c>
      <c r="G17" s="31">
        <f t="shared" si="0"/>
        <v>1.9325081890879088</v>
      </c>
    </row>
    <row r="18" spans="1:12" x14ac:dyDescent="0.2">
      <c r="A18" s="29"/>
      <c r="B18" s="29"/>
      <c r="C18" s="29"/>
      <c r="D18" s="29"/>
      <c r="E18" s="10"/>
      <c r="F18" s="10"/>
      <c r="G18" s="31"/>
    </row>
    <row r="19" spans="1:12" x14ac:dyDescent="0.2">
      <c r="A19" s="29" t="s">
        <v>80</v>
      </c>
      <c r="B19" s="29" t="s">
        <v>56</v>
      </c>
      <c r="C19" s="29" t="s">
        <v>54</v>
      </c>
      <c r="D19" s="29" t="s">
        <v>138</v>
      </c>
      <c r="E19" s="13">
        <v>135.53</v>
      </c>
      <c r="F19" s="13">
        <v>0.56799999999999995</v>
      </c>
      <c r="G19" s="31">
        <f t="shared" si="0"/>
        <v>4.7468260290946533</v>
      </c>
    </row>
    <row r="20" spans="1:12" x14ac:dyDescent="0.2">
      <c r="A20" s="29" t="s">
        <v>80</v>
      </c>
      <c r="B20" s="29" t="s">
        <v>53</v>
      </c>
      <c r="C20" s="29" t="s">
        <v>54</v>
      </c>
      <c r="D20" s="29" t="s">
        <v>139</v>
      </c>
      <c r="E20" s="13">
        <v>135.04</v>
      </c>
      <c r="F20" s="13">
        <v>0.56799999999999995</v>
      </c>
      <c r="G20" s="31">
        <f t="shared" si="0"/>
        <v>4.7643090774579759</v>
      </c>
    </row>
    <row r="21" spans="1:12" x14ac:dyDescent="0.2">
      <c r="A21" s="29" t="s">
        <v>80</v>
      </c>
      <c r="B21" s="29" t="s">
        <v>135</v>
      </c>
      <c r="C21" s="29" t="s">
        <v>136</v>
      </c>
      <c r="D21" s="29" t="s">
        <v>140</v>
      </c>
      <c r="E21" s="13">
        <v>135.05000000000001</v>
      </c>
      <c r="F21" s="13">
        <v>0.33</v>
      </c>
      <c r="G21" s="31">
        <f t="shared" si="0"/>
        <v>2.6673879717508839</v>
      </c>
    </row>
    <row r="22" spans="1:12" x14ac:dyDescent="0.2">
      <c r="A22" s="29" t="s">
        <v>80</v>
      </c>
      <c r="B22" s="29" t="s">
        <v>37</v>
      </c>
      <c r="C22" s="29" t="s">
        <v>136</v>
      </c>
      <c r="D22" s="29" t="s">
        <v>141</v>
      </c>
      <c r="E22" s="13">
        <v>144.97999999999999</v>
      </c>
      <c r="F22" s="13">
        <v>0.34749999999999998</v>
      </c>
      <c r="G22" s="31">
        <f t="shared" si="0"/>
        <v>2.6255898074737636</v>
      </c>
    </row>
    <row r="23" spans="1:12" x14ac:dyDescent="0.2">
      <c r="A23" s="29" t="s">
        <v>80</v>
      </c>
      <c r="B23" s="29" t="s">
        <v>125</v>
      </c>
      <c r="C23" s="29" t="s">
        <v>137</v>
      </c>
      <c r="D23" s="29" t="s">
        <v>142</v>
      </c>
      <c r="E23" s="13">
        <v>131.22</v>
      </c>
      <c r="F23" s="13">
        <v>0.29449999999999998</v>
      </c>
      <c r="G23" s="31">
        <f t="shared" si="0"/>
        <v>2.4244561443915642</v>
      </c>
    </row>
    <row r="24" spans="1:12" x14ac:dyDescent="0.2">
      <c r="A24" s="29" t="s">
        <v>80</v>
      </c>
      <c r="B24" s="37">
        <v>11</v>
      </c>
      <c r="C24" s="37">
        <v>120</v>
      </c>
      <c r="D24" s="38" t="s">
        <v>143</v>
      </c>
      <c r="E24" s="39">
        <v>134.94</v>
      </c>
      <c r="F24" s="40">
        <v>0.3115</v>
      </c>
      <c r="G24" s="31">
        <f t="shared" si="0"/>
        <v>2.5064920972508786</v>
      </c>
    </row>
    <row r="25" spans="1:12" x14ac:dyDescent="0.2">
      <c r="A25" s="29"/>
      <c r="B25" s="29"/>
      <c r="C25" s="29"/>
      <c r="D25" s="29"/>
      <c r="E25" s="10"/>
      <c r="F25" s="10"/>
      <c r="G25" s="27"/>
      <c r="K25" s="18"/>
      <c r="L25" s="18"/>
    </row>
    <row r="26" spans="1:12" x14ac:dyDescent="0.2">
      <c r="A26" s="29"/>
      <c r="B26" s="29"/>
      <c r="C26" s="29"/>
      <c r="D26" s="29"/>
      <c r="E26" s="10"/>
      <c r="F26" s="10"/>
      <c r="G26" s="27"/>
      <c r="K26" s="18"/>
      <c r="L26" s="18"/>
    </row>
    <row r="27" spans="1:12" x14ac:dyDescent="0.2">
      <c r="A27" s="29"/>
      <c r="B27" s="29"/>
      <c r="C27" s="29"/>
      <c r="D27" s="29"/>
      <c r="E27" s="10"/>
      <c r="F27" s="10"/>
      <c r="G27" s="27"/>
      <c r="K27" s="17"/>
      <c r="L27" s="17"/>
    </row>
    <row r="28" spans="1:12" x14ac:dyDescent="0.2">
      <c r="A28" s="29"/>
      <c r="B28" s="29"/>
      <c r="C28" s="29"/>
      <c r="D28" s="29"/>
      <c r="E28" s="10"/>
      <c r="F28" s="10"/>
      <c r="G28" s="27"/>
      <c r="K28" s="16"/>
      <c r="L28" s="17"/>
    </row>
    <row r="29" spans="1:12" x14ac:dyDescent="0.2">
      <c r="A29" s="29"/>
      <c r="B29" s="29"/>
      <c r="C29" s="29"/>
      <c r="D29" s="29"/>
      <c r="E29" s="10"/>
      <c r="F29" s="10"/>
      <c r="G29" s="27"/>
      <c r="K29" s="23"/>
      <c r="L29" s="17"/>
    </row>
    <row r="30" spans="1:12" x14ac:dyDescent="0.2">
      <c r="A30" s="29"/>
      <c r="B30" s="29"/>
      <c r="C30" s="29"/>
      <c r="D30" s="29"/>
      <c r="E30" s="10"/>
      <c r="F30" s="10"/>
      <c r="G30" s="27"/>
      <c r="K30" s="24"/>
      <c r="L30" s="17"/>
    </row>
    <row r="31" spans="1:12" x14ac:dyDescent="0.2">
      <c r="A31" s="29"/>
      <c r="B31" s="29"/>
      <c r="C31" s="29"/>
      <c r="D31" s="29"/>
      <c r="E31" s="10"/>
      <c r="F31" s="10"/>
      <c r="G31" s="27"/>
      <c r="K31" s="18"/>
      <c r="L31" s="18"/>
    </row>
    <row r="32" spans="1:12" x14ac:dyDescent="0.2">
      <c r="A32" s="29"/>
      <c r="B32" s="29"/>
      <c r="C32" s="29"/>
      <c r="D32" s="29"/>
      <c r="E32" s="10"/>
      <c r="F32" s="10"/>
      <c r="G32" s="27"/>
      <c r="K32" s="18"/>
      <c r="L32" s="18"/>
    </row>
    <row r="33" spans="1:7" x14ac:dyDescent="0.2">
      <c r="A33" s="29"/>
      <c r="B33" s="29"/>
      <c r="C33" s="29"/>
      <c r="D33" s="29"/>
      <c r="E33" s="10"/>
      <c r="F33" s="10"/>
      <c r="G33" s="27"/>
    </row>
    <row r="34" spans="1:7" x14ac:dyDescent="0.2">
      <c r="A34" s="29"/>
      <c r="B34" s="29"/>
      <c r="C34" s="29"/>
      <c r="D34" s="29"/>
      <c r="E34" s="10"/>
      <c r="F34" s="10"/>
      <c r="G34" s="27"/>
    </row>
    <row r="35" spans="1:7" x14ac:dyDescent="0.2">
      <c r="A35" s="29"/>
      <c r="B35" s="29"/>
      <c r="C35" s="29"/>
      <c r="D35" s="29"/>
      <c r="E35" s="10"/>
      <c r="F35" s="10"/>
      <c r="G35" s="27"/>
    </row>
    <row r="36" spans="1:7" x14ac:dyDescent="0.2">
      <c r="A36" s="29"/>
      <c r="B36" s="29"/>
      <c r="C36" s="29"/>
      <c r="D36" s="29"/>
      <c r="E36" s="10"/>
      <c r="F36" s="10"/>
      <c r="G36" s="27"/>
    </row>
    <row r="37" spans="1:7" x14ac:dyDescent="0.2">
      <c r="A37" s="29"/>
      <c r="B37" s="29"/>
      <c r="C37" s="29"/>
      <c r="D37" s="29"/>
      <c r="E37" s="10"/>
      <c r="F37" s="10"/>
      <c r="G37" s="27"/>
    </row>
    <row r="38" spans="1:7" x14ac:dyDescent="0.2">
      <c r="A38" s="29"/>
      <c r="B38" s="29"/>
      <c r="C38" s="29"/>
      <c r="D38" s="29"/>
      <c r="E38" s="10"/>
      <c r="F38" s="10"/>
      <c r="G38" s="27"/>
    </row>
    <row r="39" spans="1:7" x14ac:dyDescent="0.2">
      <c r="A39" s="29"/>
      <c r="B39" s="29"/>
      <c r="C39" s="29"/>
      <c r="D39" s="29"/>
      <c r="E39" s="10"/>
      <c r="F39" s="10"/>
      <c r="G39" s="27"/>
    </row>
    <row r="40" spans="1:7" x14ac:dyDescent="0.2">
      <c r="A40" s="29"/>
      <c r="B40" s="29"/>
      <c r="C40" s="29"/>
      <c r="D40" s="29"/>
      <c r="E40" s="10"/>
      <c r="F40" s="10"/>
      <c r="G40" s="27"/>
    </row>
    <row r="41" spans="1:7" x14ac:dyDescent="0.2">
      <c r="A41" s="29"/>
      <c r="B41" s="29"/>
      <c r="C41" s="29"/>
      <c r="D41" s="29"/>
      <c r="E41" s="10"/>
      <c r="F41" s="10"/>
      <c r="G41" s="27"/>
    </row>
    <row r="42" spans="1:7" x14ac:dyDescent="0.2">
      <c r="A42" s="29"/>
      <c r="B42" s="29"/>
      <c r="C42" s="29"/>
      <c r="D42" s="29"/>
      <c r="E42" s="10"/>
      <c r="F42" s="10"/>
      <c r="G42" s="27"/>
    </row>
    <row r="43" spans="1:7" x14ac:dyDescent="0.2">
      <c r="A43" s="10"/>
      <c r="B43" s="10"/>
      <c r="C43" s="10"/>
      <c r="D43" s="10"/>
      <c r="E43" s="10"/>
      <c r="F43" s="10"/>
      <c r="G43" s="15"/>
    </row>
    <row r="44" spans="1:7" x14ac:dyDescent="0.2">
      <c r="A44" s="29"/>
      <c r="B44" s="29"/>
      <c r="C44" s="29"/>
      <c r="D44" s="29"/>
      <c r="E44" s="10"/>
      <c r="F44" s="10"/>
      <c r="G44" s="27"/>
    </row>
    <row r="45" spans="1:7" x14ac:dyDescent="0.2">
      <c r="G45" s="15"/>
    </row>
  </sheetData>
  <mergeCells count="5">
    <mergeCell ref="B3:C3"/>
    <mergeCell ref="B4:C4"/>
    <mergeCell ref="B5:C5"/>
    <mergeCell ref="B6:C6"/>
    <mergeCell ref="G9:H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CTD005, 006, 007</vt:lpstr>
      <vt:lpstr>Template</vt:lpstr>
      <vt:lpstr>CTD 013,014</vt:lpstr>
      <vt:lpstr>Sheet2</vt:lpstr>
      <vt:lpstr>Sheet3</vt:lpstr>
      <vt:lpstr>Sheet4</vt:lpstr>
      <vt:lpstr>CTD008, J2-1160, J2-1161</vt:lpstr>
      <vt:lpstr>CTD010, 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Julie Nelson</cp:lastModifiedBy>
  <cp:lastPrinted>2016-12-21T17:35:33Z</cp:lastPrinted>
  <dcterms:created xsi:type="dcterms:W3CDTF">2016-12-15T23:58:46Z</dcterms:created>
  <dcterms:modified xsi:type="dcterms:W3CDTF">2019-07-08T17:49:55Z</dcterms:modified>
</cp:coreProperties>
</file>