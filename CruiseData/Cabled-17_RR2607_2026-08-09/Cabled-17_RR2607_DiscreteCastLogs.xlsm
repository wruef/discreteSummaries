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1" codeName="{F3310B89-0DAA-6C43-5919-0D5897632BE8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wruef/githubRepos/discreteSummaries/CruiseData/Cabled-17_RR2607_2026-08-09/"/>
    </mc:Choice>
  </mc:AlternateContent>
  <xr:revisionPtr revIDLastSave="0" documentId="13_ncr:1_{0ABAEE92-C8CB-3F41-B1CE-50DC7BB62C24}" xr6:coauthVersionLast="47" xr6:coauthVersionMax="47" xr10:uidLastSave="{00000000-0000-0000-0000-000000000000}"/>
  <bookViews>
    <workbookView xWindow="-19960" yWindow="-21000" windowWidth="37340" windowHeight="21000" activeTab="3" xr2:uid="{00000000-000D-0000-FFFF-FFFF00000000}"/>
  </bookViews>
  <sheets>
    <sheet name="README" sheetId="23" r:id="rId1"/>
    <sheet name="CastList" sheetId="8" r:id="rId2"/>
    <sheet name="CastLog_ROV" sheetId="21" r:id="rId3"/>
    <sheet name="SampleList" sheetId="7" r:id="rId4"/>
    <sheet name="ChloroLog_all" sheetId="24" r:id="rId5"/>
    <sheet name="CTDflags" sheetId="20" r:id="rId6"/>
    <sheet name="CTDflags_ROV" sheetId="22" r:id="rId7"/>
    <sheet name="_Flags_" sheetId="9" r:id="rId8"/>
    <sheet name="_NiskinBottles_" sheetId="10" r:id="rId9"/>
    <sheet name="  _Stations_  " sheetId="12" r:id="rId10"/>
    <sheet name="_TargetAssets_" sheetId="13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" i="24" l="1" a="1"/>
  <c r="E10" i="24" s="1"/>
  <c r="A10" i="24" a="1"/>
  <c r="A10" i="2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<sst xmlns="http://schemas.openxmlformats.org/spreadsheetml/2006/main" count="1463" uniqueCount="482">
  <si>
    <t>Notes</t>
  </si>
  <si>
    <t>Cruise:</t>
  </si>
  <si>
    <t>General comments:</t>
  </si>
  <si>
    <t>Cast #</t>
  </si>
  <si>
    <t>Depth (m)</t>
  </si>
  <si>
    <t>Niskin #</t>
  </si>
  <si>
    <t>Volume Filtered</t>
  </si>
  <si>
    <t>Chlorophyll Vial</t>
  </si>
  <si>
    <t>Sample Bottle #</t>
  </si>
  <si>
    <t>Chlorophyll Filtration Log</t>
  </si>
  <si>
    <t>Acetone Volume</t>
  </si>
  <si>
    <t>Cast</t>
  </si>
  <si>
    <t>Cruise</t>
  </si>
  <si>
    <t>Station</t>
  </si>
  <si>
    <t>Target Asset</t>
  </si>
  <si>
    <t>Cast Flag</t>
  </si>
  <si>
    <t>Niskin Flag</t>
  </si>
  <si>
    <t>RS03AXPD</t>
  </si>
  <si>
    <t>Notes/Other</t>
  </si>
  <si>
    <t>Delayed start to data collection</t>
  </si>
  <si>
    <t>Acceptable; normal cast according to SOP</t>
  </si>
  <si>
    <t>Non-standard winch speed</t>
  </si>
  <si>
    <t>Non-standard surface soak time</t>
  </si>
  <si>
    <t>Non-standard bottle soak time before Niskin trip</t>
  </si>
  <si>
    <t>Sensor issues but cast completed and data collected</t>
  </si>
  <si>
    <t>Cable issues but cast completed and data collected</t>
  </si>
  <si>
    <t>Winch issues but cast completed and data collected</t>
  </si>
  <si>
    <t>Premature cast end with data and/or data loss</t>
  </si>
  <si>
    <t>Significant ship heave</t>
  </si>
  <si>
    <t>Station position not adequately maintained during cast</t>
  </si>
  <si>
    <t>Tow-yo, Yo-yo cast</t>
  </si>
  <si>
    <t>ROV bottle sample</t>
  </si>
  <si>
    <t>Unassigned</t>
  </si>
  <si>
    <t>Data cast only, no Niskins triggered</t>
  </si>
  <si>
    <t>Acceptable; file processed according to SOP</t>
  </si>
  <si>
    <t>File processed using modified parameters</t>
  </si>
  <si>
    <t>File processed using alternate XMLCON</t>
  </si>
  <si>
    <t>Missing scans as indicated by modulo error counts</t>
  </si>
  <si>
    <t>Missing metadata</t>
  </si>
  <si>
    <t>Not calibrated</t>
  </si>
  <si>
    <t>Acceptable measurement</t>
  </si>
  <si>
    <t>Questionable measurement</t>
  </si>
  <si>
    <t>Bad measurement</t>
  </si>
  <si>
    <t>Not reported</t>
  </si>
  <si>
    <t>Calibration coefficients &gt; 1 year old</t>
  </si>
  <si>
    <t>Corresponding discrete sample</t>
  </si>
  <si>
    <t>Bottle information unavailable</t>
  </si>
  <si>
    <t>No problems noted</t>
  </si>
  <si>
    <t>Leaking</t>
  </si>
  <si>
    <t>Ran out of water during sampling</t>
  </si>
  <si>
    <t>Vent open</t>
  </si>
  <si>
    <t>Misfire at wrong depth</t>
  </si>
  <si>
    <t>Unknown problem</t>
  </si>
  <si>
    <t>Sample not drawn for this measurement from this bottle</t>
  </si>
  <si>
    <t>Acceptable; sample processed according to SOP</t>
  </si>
  <si>
    <t>Sample collected out of order</t>
  </si>
  <si>
    <t>Sample processed using alternative method; see notes</t>
  </si>
  <si>
    <t>Duplicate analysis on same sample</t>
  </si>
  <si>
    <t>Single sample</t>
  </si>
  <si>
    <t>Duplicate analysis from same Niskin</t>
  </si>
  <si>
    <t>Triplicate analysis from same Niskin</t>
  </si>
  <si>
    <t>Niskins</t>
  </si>
  <si>
    <t>Bottom Depth at Start Position [m]</t>
  </si>
  <si>
    <t>CTD File</t>
  </si>
  <si>
    <t>CTD File Flag</t>
  </si>
  <si>
    <t>Niskin/Bottle Position</t>
  </si>
  <si>
    <t>Axial Base Shallow Profiler</t>
  </si>
  <si>
    <t>Axial Base Deep Profiler</t>
  </si>
  <si>
    <t>Axial Base Junction Box LJ03A</t>
  </si>
  <si>
    <t>Oregon Offshore Deep Profiler</t>
  </si>
  <si>
    <t>Oregon Offshore Shallow Profiler</t>
  </si>
  <si>
    <t>Slope Base Shallow Profiler</t>
  </si>
  <si>
    <t>Slope Base Deep Profiler</t>
  </si>
  <si>
    <t>Southern Hydrate Ridge</t>
  </si>
  <si>
    <t>CE02SHBP</t>
  </si>
  <si>
    <t>CE04OSBP</t>
  </si>
  <si>
    <t>CE04OSPD</t>
  </si>
  <si>
    <t>CE04OSPS</t>
  </si>
  <si>
    <t>RS01SBPD</t>
  </si>
  <si>
    <t>RS01SBPS</t>
  </si>
  <si>
    <t>RS01SLBS</t>
  </si>
  <si>
    <t>RS01SUM2</t>
  </si>
  <si>
    <t>RS03AXBS</t>
  </si>
  <si>
    <t>RS03AXPS</t>
  </si>
  <si>
    <t>Target Depth</t>
  </si>
  <si>
    <t>bitPosition</t>
  </si>
  <si>
    <t>castFlags</t>
  </si>
  <si>
    <t>CTDFileFlags</t>
  </si>
  <si>
    <t>CTDParameterFlags</t>
  </si>
  <si>
    <t>niskinFlags</t>
  </si>
  <si>
    <t>discreteSampleFlags</t>
  </si>
  <si>
    <t>discreteReplicateFlags</t>
  </si>
  <si>
    <t>Sample for this measurement was drawn from water bottle but analysis not received</t>
  </si>
  <si>
    <t>Forward</t>
  </si>
  <si>
    <t>Aft</t>
  </si>
  <si>
    <t>Port</t>
  </si>
  <si>
    <t>Starboard</t>
  </si>
  <si>
    <t>Discrete Oxygen Flag</t>
  </si>
  <si>
    <t>Discrete Oxygen Replicate Flag</t>
  </si>
  <si>
    <t>Discrete Fluorescence Flag</t>
  </si>
  <si>
    <t>Discrete Fluorescence Replicate Flag</t>
  </si>
  <si>
    <t>Discrete Nutrients Flag</t>
  </si>
  <si>
    <t>Discrete Nutrients Replicate Flag</t>
  </si>
  <si>
    <t>Discrete Salinity Flag</t>
  </si>
  <si>
    <t>Discrete Salinity Replicate Flag</t>
  </si>
  <si>
    <t>Discrete DIC Flag</t>
  </si>
  <si>
    <t>Discrete DIC Replicate Flag</t>
  </si>
  <si>
    <t>Oxygen Bottle Number</t>
  </si>
  <si>
    <t>Chlorophyll Bottle Number</t>
  </si>
  <si>
    <t>Salinity Bottle Number</t>
  </si>
  <si>
    <t>Nutrient Bottle Number</t>
  </si>
  <si>
    <t>DIC Bottle Number</t>
  </si>
  <si>
    <t>Aft Port</t>
  </si>
  <si>
    <t>Aft Starboard</t>
  </si>
  <si>
    <t>Forward Port</t>
  </si>
  <si>
    <t>Forward Starboard</t>
  </si>
  <si>
    <t>THSPHA301</t>
  </si>
  <si>
    <t>PI_REQUEST</t>
  </si>
  <si>
    <t>CTD Pressure Flag</t>
  </si>
  <si>
    <t>CTD Temperature 1 Flag</t>
  </si>
  <si>
    <t>CTD Temperature 2 Flag</t>
  </si>
  <si>
    <t>CTD Conductivity 1 Flag</t>
  </si>
  <si>
    <t>CTD Conductivity 2 Flag</t>
  </si>
  <si>
    <t>CTD Oxygen Flag</t>
  </si>
  <si>
    <t>CTD Fluorescence Flag</t>
  </si>
  <si>
    <t>CTD Transmissometer Flag</t>
  </si>
  <si>
    <t>CTD pH Flag</t>
  </si>
  <si>
    <t>Parameter</t>
  </si>
  <si>
    <t>Parameter Flag</t>
  </si>
  <si>
    <t>CE02SHSM</t>
  </si>
  <si>
    <t>Majors</t>
  </si>
  <si>
    <t>Source</t>
  </si>
  <si>
    <t>Depth</t>
  </si>
  <si>
    <t>eventNotes</t>
  </si>
  <si>
    <t>Niskin</t>
  </si>
  <si>
    <t>CTD Bottle Closure Time [UTC]</t>
  </si>
  <si>
    <t>Dive</t>
  </si>
  <si>
    <t>Start Latitude [degrees]</t>
  </si>
  <si>
    <t>Start Longitude [degrees]</t>
  </si>
  <si>
    <t>Discrete Alkalinity Flag</t>
  </si>
  <si>
    <t>Discrete Alkalinity Replicate Flag</t>
  </si>
  <si>
    <t>Discrete pCO2 Flag</t>
  </si>
  <si>
    <t>Discrete pCO2 Replicate Flag</t>
  </si>
  <si>
    <t>Discrete pH Flag</t>
  </si>
  <si>
    <t>Discrete pH Replicate Flag</t>
  </si>
  <si>
    <t>Alkalinity Bottle Number</t>
  </si>
  <si>
    <t>pCO2 Bottle Number</t>
  </si>
  <si>
    <t>pH Bottle Number</t>
  </si>
  <si>
    <t>Axial Seamount International District 1</t>
  </si>
  <si>
    <t>Oregon Offshore Shallow Profiler - 500 m W</t>
  </si>
  <si>
    <t>Axial Base Shallow Profiler - 1000 m E</t>
  </si>
  <si>
    <t>Axial Base Shallow Profiler - 500 m E</t>
  </si>
  <si>
    <t>Axial Base Deep Profiler - 500 m SW</t>
  </si>
  <si>
    <t>Axial Base Shallow Profiler - 250 m E</t>
  </si>
  <si>
    <t>Axial Base Shallow Profiler - 250 m NW</t>
  </si>
  <si>
    <t>Axial Base Deep Profiler - 500 m N</t>
  </si>
  <si>
    <t>Axial Base Shallow Profiler - 250 m W</t>
  </si>
  <si>
    <t>Axial Base Shallow Profiler - 900 m SSW</t>
  </si>
  <si>
    <t>Axial Base Shallow Profiler - 200 m W</t>
  </si>
  <si>
    <t>Axial Base Shallow Profiler - 150 m W</t>
  </si>
  <si>
    <t>Oregon Offshore Shallow Profiler - 250 m W</t>
  </si>
  <si>
    <t>Oregon Offshore Shallow Profiler - 250 m E</t>
  </si>
  <si>
    <t>Oregon Offshore Deep Profiler - 250 m SW</t>
  </si>
  <si>
    <t>Oregon Offshore Deep Profiler - 500 m SW</t>
  </si>
  <si>
    <t>Oregon Offshore Shallow Profiler - 500 m E</t>
  </si>
  <si>
    <t>Oregon Offshore Shallow Profiler - 250 m NE</t>
  </si>
  <si>
    <t>Oregon Offshore Deep Profiler - 250 m E</t>
  </si>
  <si>
    <t>Oregon Offshore Deep Profiler - 200 m E</t>
  </si>
  <si>
    <t>Oregon Offshore Shallow Profiler - 600 m E</t>
  </si>
  <si>
    <t>Slope Base Shallow Profiler - 250 m W</t>
  </si>
  <si>
    <t>Slope Base Shallow Profiler - 1300 m NE</t>
  </si>
  <si>
    <t>Slope Base Shallow Profiler - 500 m W</t>
  </si>
  <si>
    <t>Slope Base Shallow Profiler - 100 m W</t>
  </si>
  <si>
    <t>Slope Base Deep Profiler - 750 m E</t>
  </si>
  <si>
    <t>Slope Base Junction Box LJ01A - 500 m S</t>
  </si>
  <si>
    <t>Slope Base Junction Box LJ01A - 250 m SW</t>
  </si>
  <si>
    <t>Slope Base Shallow Profiler - 250 m E</t>
  </si>
  <si>
    <t>Slope Base Junction Box LV01A - 100 m SE</t>
  </si>
  <si>
    <t>Slope Base Shallow Profiler - 200 m W</t>
  </si>
  <si>
    <t>Slope Base Deep Profiler - 500 m E</t>
  </si>
  <si>
    <t>Southern Hydrate Ridge - 90 m E of plume</t>
  </si>
  <si>
    <t>Axial Base Deep Profiler - 1000 m E</t>
  </si>
  <si>
    <t>Axial Base Shallow Profiler - 550 m E</t>
  </si>
  <si>
    <t>Oregon Offshore BEP</t>
  </si>
  <si>
    <t>Oregon Shelf BEP</t>
  </si>
  <si>
    <t>Oregon Shelf BEP - 20 m NW</t>
  </si>
  <si>
    <t>Oregon Shelf BEP - 70 m NE</t>
  </si>
  <si>
    <t>Southern Hydrate Ridge - 100 m N of Einstein's Grotto</t>
  </si>
  <si>
    <t>Blue Tabs:</t>
  </si>
  <si>
    <t>Flags, NiskinBottles, Stations, Target Assets</t>
  </si>
  <si>
    <t>Green Tabs:</t>
  </si>
  <si>
    <t>Locked to protect against inadvertant typos; to add to lists use the password "addnotchange"</t>
  </si>
  <si>
    <t>CastList, SampleList, CastLogROV, OxygenLog_all, ChloroLog_all</t>
  </si>
  <si>
    <t>Green is hand-typed, blue is filled in from predefined lists in the sheet:</t>
  </si>
  <si>
    <t>CastList: Verify against CTD Cast Logs</t>
  </si>
  <si>
    <t>SampleList: Verify against CTD Cast Logs</t>
  </si>
  <si>
    <t>OxygenLog_all: Verify against Oxygen titration log</t>
  </si>
  <si>
    <t>ChloroLog_all: Verify against Chlorophyll filtration log</t>
  </si>
  <si>
    <t>CastLog_ROV: Verify against ROV data logs listed in “source” and notes</t>
  </si>
  <si>
    <t>++OxygenParameters++: Verify against Oxygen bottle volumes, Oxygen titration log</t>
  </si>
  <si>
    <t>_Flags_: Check for typos, consistency</t>
  </si>
  <si>
    <t>_NiskinBottles_: Check for typos, consistency</t>
  </si>
  <si>
    <t>_Stations_: Check for typos, consistency</t>
  </si>
  <si>
    <t>_TargetAssets_: Check for typos, consistency</t>
  </si>
  <si>
    <t>Slope Base Junction Box LJ01A</t>
  </si>
  <si>
    <t>CTDPFB101</t>
  </si>
  <si>
    <t>DOSTAD101</t>
  </si>
  <si>
    <t>Axial Base Shallow Profiler - 500 m NW</t>
  </si>
  <si>
    <t>CTDPFB301</t>
  </si>
  <si>
    <t>DOSTAD301</t>
  </si>
  <si>
    <t>Axial Base Shallow Profiler - 500 m SW</t>
  </si>
  <si>
    <t>Date/Time (local)</t>
  </si>
  <si>
    <t>Slope Base Shallow Profiler - 500 m SW</t>
  </si>
  <si>
    <t>Axial Central Caldera</t>
  </si>
  <si>
    <t>Axial Eastern Caldera</t>
  </si>
  <si>
    <t>CTDPFB304</t>
  </si>
  <si>
    <t>CTDPFB305</t>
  </si>
  <si>
    <t>CTDPFB306</t>
  </si>
  <si>
    <t>Acceptable measurement,Calibration coefficients &gt; 1 year old</t>
  </si>
  <si>
    <t>CTDPFA110</t>
  </si>
  <si>
    <t>Axial Seamount International District 2</t>
  </si>
  <si>
    <t>CTDPFB307</t>
  </si>
  <si>
    <t>Axial ASHES Vent Field</t>
  </si>
  <si>
    <t>THSPHA302</t>
  </si>
  <si>
    <t>CTD-001</t>
  </si>
  <si>
    <t>CTD-002</t>
  </si>
  <si>
    <t>CTD-003</t>
  </si>
  <si>
    <t>CTD-004</t>
  </si>
  <si>
    <t>CTD-005</t>
  </si>
  <si>
    <t>DIC-101</t>
  </si>
  <si>
    <t>DIC-102</t>
  </si>
  <si>
    <t>SA-313</t>
  </si>
  <si>
    <t>DIC-103</t>
  </si>
  <si>
    <t>CHL-005</t>
  </si>
  <si>
    <t>DIC-104</t>
  </si>
  <si>
    <t>DIC-105</t>
  </si>
  <si>
    <t>DIC-106</t>
  </si>
  <si>
    <t>SA-314</t>
  </si>
  <si>
    <t>CHL-025</t>
  </si>
  <si>
    <t>DIC-107</t>
  </si>
  <si>
    <t>DIC-108</t>
  </si>
  <si>
    <t>SA-315</t>
  </si>
  <si>
    <t>CHL-018</t>
  </si>
  <si>
    <t>DIC-109</t>
  </si>
  <si>
    <t>CHL-031</t>
  </si>
  <si>
    <t>DIC-110</t>
  </si>
  <si>
    <t>SA-316</t>
  </si>
  <si>
    <t>CHL-012</t>
  </si>
  <si>
    <t>DIC-111</t>
  </si>
  <si>
    <t>DIC-112</t>
  </si>
  <si>
    <t>SA-317</t>
  </si>
  <si>
    <t>DIC-113</t>
  </si>
  <si>
    <t>SA-318</t>
  </si>
  <si>
    <t>CHL-011</t>
  </si>
  <si>
    <t>DIC-114</t>
  </si>
  <si>
    <t>SA-319</t>
  </si>
  <si>
    <t>CHL-038</t>
  </si>
  <si>
    <t>DIC-115</t>
  </si>
  <si>
    <t>DIC-116</t>
  </si>
  <si>
    <t>SA-320</t>
  </si>
  <si>
    <t>DIC-117</t>
  </si>
  <si>
    <t>DIC-118</t>
  </si>
  <si>
    <t>CHL-027</t>
  </si>
  <si>
    <t>DIC-119</t>
  </si>
  <si>
    <t>DIC-120</t>
  </si>
  <si>
    <t>SA-321</t>
  </si>
  <si>
    <t>CHL-021</t>
  </si>
  <si>
    <t>DIC-121</t>
  </si>
  <si>
    <t>DIC-122</t>
  </si>
  <si>
    <t>SA-322</t>
  </si>
  <si>
    <t>CHL-037</t>
  </si>
  <si>
    <t>DIC-123</t>
  </si>
  <si>
    <t>CHL-039</t>
  </si>
  <si>
    <t>DIC-124</t>
  </si>
  <si>
    <t>SA-323</t>
  </si>
  <si>
    <t>CHL-008</t>
  </si>
  <si>
    <t>CHL-003</t>
  </si>
  <si>
    <t>CHL-002</t>
  </si>
  <si>
    <t>SA-330</t>
  </si>
  <si>
    <t>CHL-007</t>
  </si>
  <si>
    <t>SA-329</t>
  </si>
  <si>
    <t>SA-328</t>
  </si>
  <si>
    <t>SA-327</t>
  </si>
  <si>
    <t>SA-326</t>
  </si>
  <si>
    <t>SA-325</t>
  </si>
  <si>
    <t>SA-332</t>
  </si>
  <si>
    <t>SA-333</t>
  </si>
  <si>
    <t>SA-336</t>
  </si>
  <si>
    <t>CHL-015</t>
  </si>
  <si>
    <t>SA-414</t>
  </si>
  <si>
    <t>SA-413</t>
  </si>
  <si>
    <t>SA-410</t>
  </si>
  <si>
    <t>SA-409</t>
  </si>
  <si>
    <t>SA-415</t>
  </si>
  <si>
    <t>SA-416</t>
  </si>
  <si>
    <t>SA-417</t>
  </si>
  <si>
    <t>SA-418</t>
  </si>
  <si>
    <t>SA-419</t>
  </si>
  <si>
    <t>CHL-022</t>
  </si>
  <si>
    <t>DIC-128</t>
  </si>
  <si>
    <t>DIC-127</t>
  </si>
  <si>
    <t>DIC-125</t>
  </si>
  <si>
    <t>DIC-129</t>
  </si>
  <si>
    <t>DIC-130</t>
  </si>
  <si>
    <t>DIC-131</t>
  </si>
  <si>
    <t>DIC-132</t>
  </si>
  <si>
    <t>SA-420</t>
  </si>
  <si>
    <t>SA-421</t>
  </si>
  <si>
    <t>DIC-133</t>
  </si>
  <si>
    <t>DIC-136</t>
  </si>
  <si>
    <t>DIC-134</t>
  </si>
  <si>
    <t>DIC-126</t>
  </si>
  <si>
    <t>DIC-135</t>
  </si>
  <si>
    <t>DIC-139</t>
  </si>
  <si>
    <t>DIC-138</t>
  </si>
  <si>
    <t>DIC-137</t>
  </si>
  <si>
    <t>CHL-004</t>
  </si>
  <si>
    <t>SA-433</t>
  </si>
  <si>
    <t>SA-434</t>
  </si>
  <si>
    <t>RR2607</t>
  </si>
  <si>
    <t>J2-1775</t>
  </si>
  <si>
    <t>J2-1778</t>
  </si>
  <si>
    <t>J2-1781</t>
  </si>
  <si>
    <t>CTD-006</t>
  </si>
  <si>
    <t>J2-1782</t>
  </si>
  <si>
    <t>J2-1783</t>
  </si>
  <si>
    <t>J2-1788</t>
  </si>
  <si>
    <t>J2-1789</t>
  </si>
  <si>
    <t>RCA025</t>
  </si>
  <si>
    <t>RCA026</t>
  </si>
  <si>
    <t>RCA027</t>
  </si>
  <si>
    <t>RCA028</t>
  </si>
  <si>
    <t>NUT-3137</t>
  </si>
  <si>
    <t>RCA029</t>
  </si>
  <si>
    <t>NUT-3138</t>
  </si>
  <si>
    <t>NUT-3139</t>
  </si>
  <si>
    <t>NUT-3140</t>
  </si>
  <si>
    <t>RCA031</t>
  </si>
  <si>
    <t>RCA032</t>
  </si>
  <si>
    <t>NUT-3141</t>
  </si>
  <si>
    <t>CHL-035</t>
  </si>
  <si>
    <t>NUT-3142</t>
  </si>
  <si>
    <t>RCA033</t>
  </si>
  <si>
    <t>RCA034</t>
  </si>
  <si>
    <t>NUT-3143</t>
  </si>
  <si>
    <t>RCA035</t>
  </si>
  <si>
    <t>RCA036</t>
  </si>
  <si>
    <t>A lot of bubbles from Niskin</t>
  </si>
  <si>
    <t>NUT-3144</t>
  </si>
  <si>
    <t>RCA037</t>
  </si>
  <si>
    <t>RCA038</t>
  </si>
  <si>
    <t>RCA039</t>
  </si>
  <si>
    <t>RCA040</t>
  </si>
  <si>
    <t>CHL-013</t>
  </si>
  <si>
    <t>RCA041</t>
  </si>
  <si>
    <t>RCA042</t>
  </si>
  <si>
    <t>NUT-3147</t>
  </si>
  <si>
    <t>RCA043</t>
  </si>
  <si>
    <t>RCA044</t>
  </si>
  <si>
    <t>RCA045</t>
  </si>
  <si>
    <t>RCA046</t>
  </si>
  <si>
    <t>RCA047</t>
  </si>
  <si>
    <t>RCA048</t>
  </si>
  <si>
    <t>RCA001</t>
  </si>
  <si>
    <t>RCA002</t>
  </si>
  <si>
    <t>SA324</t>
  </si>
  <si>
    <t>RCA003</t>
  </si>
  <si>
    <t>RCA004</t>
  </si>
  <si>
    <t>RCA005</t>
  </si>
  <si>
    <t>RCA006</t>
  </si>
  <si>
    <t>RCA007</t>
  </si>
  <si>
    <t>RCA008</t>
  </si>
  <si>
    <t>Oxygen: RCA008 closed without pickling</t>
  </si>
  <si>
    <t>RCA009</t>
  </si>
  <si>
    <t>RCA010</t>
  </si>
  <si>
    <t>CHL-020</t>
  </si>
  <si>
    <t>RCA011</t>
  </si>
  <si>
    <t>RCA012</t>
  </si>
  <si>
    <t>RCA013</t>
  </si>
  <si>
    <t>RCA014</t>
  </si>
  <si>
    <t>SA-331</t>
  </si>
  <si>
    <t>RCA030</t>
  </si>
  <si>
    <t>NUT-3148</t>
  </si>
  <si>
    <t>NUT-3150</t>
  </si>
  <si>
    <t>NUT-3149</t>
  </si>
  <si>
    <t>NUT-3151</t>
  </si>
  <si>
    <t>NUT-3152</t>
  </si>
  <si>
    <t>NUT-3157</t>
  </si>
  <si>
    <t>NUT-3158</t>
  </si>
  <si>
    <t>NUT-3165</t>
  </si>
  <si>
    <t>NUT-3160</t>
  </si>
  <si>
    <t>NUT-3153</t>
  </si>
  <si>
    <t>NUT-3166</t>
  </si>
  <si>
    <t>SA-334</t>
  </si>
  <si>
    <t>SA-411</t>
  </si>
  <si>
    <t>SA-412</t>
  </si>
  <si>
    <t>CHL-028</t>
  </si>
  <si>
    <t>This niskin very gassy (22)</t>
  </si>
  <si>
    <t>RCA017</t>
  </si>
  <si>
    <t>RCA016</t>
  </si>
  <si>
    <t>RCA018</t>
  </si>
  <si>
    <t>SA-439</t>
  </si>
  <si>
    <t>SA-445</t>
  </si>
  <si>
    <t>SA-451</t>
  </si>
  <si>
    <t>SA-452</t>
  </si>
  <si>
    <t>SA-446</t>
  </si>
  <si>
    <t>SA-440</t>
  </si>
  <si>
    <t>CHL-036</t>
  </si>
  <si>
    <t>Niskin may have been leaky? When went to fill HPIES carboy, found unexpectedly little water</t>
  </si>
  <si>
    <t>RCA019</t>
  </si>
  <si>
    <t>RCA020</t>
  </si>
  <si>
    <t>RCA021</t>
  </si>
  <si>
    <t>RCA022</t>
  </si>
  <si>
    <t>RCA023</t>
  </si>
  <si>
    <t>RCA024</t>
  </si>
  <si>
    <t>NUT-3156</t>
  </si>
  <si>
    <t>NUT-3155</t>
  </si>
  <si>
    <t>NUT-3154</t>
  </si>
  <si>
    <t>NUT-3168</t>
  </si>
  <si>
    <t>NUT-3167</t>
  </si>
  <si>
    <t>NUT-3164</t>
  </si>
  <si>
    <t>NUT-3163</t>
  </si>
  <si>
    <t>NUT-3162</t>
  </si>
  <si>
    <t>NUT-3161</t>
  </si>
  <si>
    <t>NUT-3176</t>
  </si>
  <si>
    <t>NUT-3175</t>
  </si>
  <si>
    <t>NUT-3174</t>
  </si>
  <si>
    <t>SA-435</t>
  </si>
  <si>
    <t>SA-438</t>
  </si>
  <si>
    <t>SA-441</t>
  </si>
  <si>
    <t>SA-442</t>
  </si>
  <si>
    <t>SA-443</t>
  </si>
  <si>
    <t>SA-437</t>
  </si>
  <si>
    <t>SA-436</t>
  </si>
  <si>
    <t>SA-335</t>
  </si>
  <si>
    <t>SA-447</t>
  </si>
  <si>
    <t>NUT-3159</t>
  </si>
  <si>
    <t>NUT-3145</t>
  </si>
  <si>
    <t>NUT-3146</t>
  </si>
  <si>
    <t>RR2607_CTD-001</t>
  </si>
  <si>
    <t>RR2607_CTD-002</t>
  </si>
  <si>
    <t>RR2607_CTD-003</t>
  </si>
  <si>
    <t>RR2607_CTD-004</t>
  </si>
  <si>
    <t>RR2607_CTD-005</t>
  </si>
  <si>
    <t>RR2607_CTD-006</t>
  </si>
  <si>
    <t>RR2607_J2-1775</t>
  </si>
  <si>
    <t>RR2607_J2-1778</t>
  </si>
  <si>
    <t>RR2607_J2-1781</t>
  </si>
  <si>
    <t>RR2607_J2-1782</t>
  </si>
  <si>
    <t>RR2607_J2-1783</t>
  </si>
  <si>
    <t>RR2607_J2-1788</t>
  </si>
  <si>
    <t>RR2607_J2-1789</t>
  </si>
  <si>
    <t>2026-08-09T22:00:11.808Z</t>
  </si>
  <si>
    <t>2026-08-09T22:01:16.816Z</t>
  </si>
  <si>
    <t>"Niskin", "Starboard Aft"</t>
  </si>
  <si>
    <t>"Niskin", "Starboard Forward", "By Old BEP"</t>
  </si>
  <si>
    <t>"Niskin", "Starboard Aft","By old BEP"</t>
  </si>
  <si>
    <t>RR2607_J2-1775_sealogExport.csv, line 498</t>
  </si>
  <si>
    <t>RR2607_J2-1775_sealogExport.csv, line 501</t>
  </si>
  <si>
    <t>2026-08-10T17:28:33.627Z</t>
  </si>
  <si>
    <t>RR2607_J2-1778_sealogExport.csv, line 444</t>
  </si>
  <si>
    <t>2026-08-11T21:57:50.156Z</t>
  </si>
  <si>
    <t>2026-08-11T22:00:02.763Z</t>
  </si>
  <si>
    <t>"Niskin", "Starboard forward", "confirmed fire"</t>
  </si>
  <si>
    <t>RR2607_J2-1781_sealogExport.csv, line 1010</t>
  </si>
  <si>
    <t>RR2607_J2-1781_sealogExport.csv, line 1017</t>
  </si>
  <si>
    <t>2026-08-13T11:07:14.353Z</t>
  </si>
  <si>
    <t>"Niskin", "Aft niskin"</t>
  </si>
  <si>
    <t>RR2607_J2-1782_sealogExport.csv, line 485</t>
  </si>
  <si>
    <t>2026-08-13T17:58:53.107Z</t>
  </si>
  <si>
    <t>"Niskin", "Starboard Aft Niskin"</t>
  </si>
  <si>
    <t>RR2607_J2-1783_sealogExport.csv, line 283</t>
  </si>
  <si>
    <t>2026-08-15T22:07:29.103Z</t>
  </si>
  <si>
    <t>RR2607_J2-1788_sealogExport.csv, line 911</t>
  </si>
  <si>
    <t>2026-08-16T04:37:47.333Z</t>
  </si>
  <si>
    <t>"Foreward niskin"</t>
  </si>
  <si>
    <t>RR2607_J2-1789_sealogExport.csv, line 555</t>
  </si>
  <si>
    <t>lat/long corrupt in sealogExport; values entered from castLog</t>
  </si>
  <si>
    <t>Questionable measurement,Notes/Other</t>
  </si>
  <si>
    <t>Oxygen: 002 sample showed too much precipitate, another duplicate was taken (007)</t>
  </si>
  <si>
    <t>Bad measurement,Notes/Other</t>
  </si>
  <si>
    <t>remainder of CHL-035 from CTD-003, first run contaminated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</si>
</sst>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0000"/>
      <name val="Arial"/>
      <family val="2"/>
    </font>
    <font>
      <sz val="8"/>
      <name val="Calibri"/>
      <family val="2"/>
      <scheme val="minor"/>
    </font>
    <font>
      <sz val="12"/>
      <color rgb="FF000000"/>
      <name val="Aptos Narrow"/>
      <family val="2"/>
    </font>
    <font>
      <sz val="12"/>
      <color theme="1"/>
      <name val="Calibri"/>
      <family val="2"/>
    </font>
    <font>
      <sz val="12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lightVertical">
        <fgColor theme="9" tint="0.79992065187536243"/>
        <bgColor theme="9" tint="0.79998168889431442"/>
      </patternFill>
    </fill>
    <fill>
      <patternFill patternType="lightVertical">
        <fgColor theme="9" tint="0.79992065187536243"/>
        <bgColor indexed="65"/>
      </patternFill>
    </fill>
    <fill>
      <patternFill patternType="lightVertical">
        <fgColor theme="9" tint="0.79998168889431442"/>
        <bgColor theme="9" tint="0.79998168889431442"/>
      </patternFill>
    </fill>
    <fill>
      <patternFill patternType="lightVertical">
        <fgColor theme="9" tint="0.79998168889431442"/>
        <bgColor indexed="65"/>
      </patternFill>
    </fill>
    <fill>
      <patternFill patternType="lightHorizontal">
        <fgColor theme="9" tint="0.79998168889431442"/>
        <bgColor theme="9" tint="0.79998168889431442"/>
      </patternFill>
    </fill>
    <fill>
      <patternFill patternType="lightHorizontal">
        <fgColor theme="9" tint="0.79998168889431442"/>
        <bgColor indexed="65"/>
      </patternFill>
    </fill>
    <fill>
      <patternFill patternType="lightVertical">
        <fgColor rgb="FFE2EFDA"/>
      </patternFill>
    </fill>
    <fill>
      <patternFill patternType="lightHorizontal">
        <fgColor rgb="FFE2EFDA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/>
    <xf numFmtId="0" fontId="4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4" borderId="0" xfId="0" applyFill="1"/>
    <xf numFmtId="0" fontId="5" fillId="0" borderId="0" xfId="0" applyFont="1"/>
    <xf numFmtId="0" fontId="0" fillId="3" borderId="2" xfId="0" applyFill="1" applyBorder="1"/>
    <xf numFmtId="0" fontId="0" fillId="3" borderId="2" xfId="0" applyFill="1" applyBorder="1" applyAlignment="1">
      <alignment horizontal="left"/>
    </xf>
    <xf numFmtId="0" fontId="0" fillId="0" borderId="2" xfId="0" applyBorder="1"/>
    <xf numFmtId="49" fontId="1" fillId="0" borderId="2" xfId="0" applyNumberFormat="1" applyFont="1" applyBorder="1" applyAlignment="1">
      <alignment horizontal="right"/>
    </xf>
    <xf numFmtId="49" fontId="1" fillId="0" borderId="2" xfId="0" applyNumberFormat="1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5" borderId="2" xfId="0" applyFill="1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49" fontId="1" fillId="8" borderId="2" xfId="0" applyNumberFormat="1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49" fontId="1" fillId="11" borderId="2" xfId="0" applyNumberFormat="1" applyFont="1" applyFill="1" applyBorder="1" applyAlignment="1">
      <alignment horizontal="center"/>
    </xf>
    <xf numFmtId="22" fontId="0" fillId="0" borderId="2" xfId="0" applyNumberFormat="1" applyBorder="1"/>
    <xf numFmtId="0" fontId="1" fillId="10" borderId="2" xfId="0" applyFont="1" applyFill="1" applyBorder="1" applyAlignment="1">
      <alignment horizontal="right"/>
    </xf>
    <xf numFmtId="0" fontId="7" fillId="0" borderId="2" xfId="0" applyFont="1" applyBorder="1"/>
    <xf numFmtId="0" fontId="0" fillId="2" borderId="2" xfId="0" applyFill="1" applyBorder="1"/>
    <xf numFmtId="22" fontId="0" fillId="10" borderId="2" xfId="0" applyNumberFormat="1" applyFill="1" applyBorder="1"/>
    <xf numFmtId="0" fontId="0" fillId="12" borderId="2" xfId="0" applyFill="1" applyBorder="1"/>
    <xf numFmtId="49" fontId="1" fillId="12" borderId="2" xfId="0" applyNumberFormat="1" applyFont="1" applyFill="1" applyBorder="1" applyAlignment="1">
      <alignment horizontal="right"/>
    </xf>
    <xf numFmtId="49" fontId="1" fillId="10" borderId="2" xfId="0" applyNumberFormat="1" applyFont="1" applyFill="1" applyBorder="1" applyAlignment="1">
      <alignment horizontal="right"/>
    </xf>
    <xf numFmtId="0" fontId="0" fillId="9" borderId="2" xfId="0" applyFill="1" applyBorder="1" applyAlignment="1">
      <alignment horizontal="right"/>
    </xf>
    <xf numFmtId="0" fontId="0" fillId="10" borderId="2" xfId="0" applyFill="1" applyBorder="1" applyAlignment="1">
      <alignment horizontal="right"/>
    </xf>
    <xf numFmtId="0" fontId="1" fillId="0" borderId="2" xfId="0" applyFont="1" applyBorder="1"/>
    <xf numFmtId="0" fontId="8" fillId="12" borderId="3" xfId="0" applyFont="1" applyFill="1" applyBorder="1"/>
    <xf numFmtId="0" fontId="9" fillId="12" borderId="3" xfId="0" applyFont="1" applyFill="1" applyBorder="1" applyAlignment="1">
      <alignment horizontal="right"/>
    </xf>
    <xf numFmtId="0" fontId="9" fillId="12" borderId="3" xfId="0" applyFont="1" applyFill="1" applyBorder="1"/>
    <xf numFmtId="0" fontId="8" fillId="12" borderId="3" xfId="0" applyFont="1" applyFill="1" applyBorder="1" applyAlignment="1">
      <alignment horizontal="right"/>
    </xf>
    <xf numFmtId="0" fontId="0" fillId="12" borderId="0" xfId="0" applyFill="1"/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2" fillId="0" borderId="0" xfId="0" applyFont="1"/>
    <xf numFmtId="0" fontId="0" fillId="0" borderId="1" xfId="0" applyBorder="1"/>
    <xf numFmtId="0" fontId="2" fillId="0" borderId="2" xfId="0" applyFont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0" borderId="0" xfId="0"/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2EFDA"/>
      <color rgb="FFFFFFFF"/>
      <color rgb="FF4848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5"/>
  </sheetPr>
  <dimension ref="A3:B20"/>
  <sheetViews>
    <sheetView workbookViewId="0">
      <selection activeCell="B4" sqref="B4"/>
    </sheetView>
  </sheetViews>
  <sheetFormatPr baseColWidth="10" defaultRowHeight="16" x14ac:dyDescent="0.2"/>
  <sheetData>
    <row r="3" spans="1:2" x14ac:dyDescent="0.2">
      <c r="A3" t="s">
        <v>188</v>
      </c>
      <c r="B3" t="s">
        <v>189</v>
      </c>
    </row>
    <row r="4" spans="1:2" x14ac:dyDescent="0.2">
      <c r="B4" t="s">
        <v>191</v>
      </c>
    </row>
    <row r="5" spans="1:2" x14ac:dyDescent="0.2">
      <c r="A5" t="s">
        <v>190</v>
      </c>
      <c r="B5" t="s">
        <v>192</v>
      </c>
    </row>
    <row r="9" spans="1:2" x14ac:dyDescent="0.2">
      <c r="A9" s="8" t="s">
        <v>193</v>
      </c>
    </row>
    <row r="11" spans="1:2" x14ac:dyDescent="0.2">
      <c r="A11" s="8" t="s">
        <v>194</v>
      </c>
    </row>
    <row r="12" spans="1:2" x14ac:dyDescent="0.2">
      <c r="A12" s="8" t="s">
        <v>195</v>
      </c>
    </row>
    <row r="13" spans="1:2" x14ac:dyDescent="0.2">
      <c r="A13" s="8" t="s">
        <v>196</v>
      </c>
    </row>
    <row r="14" spans="1:2" x14ac:dyDescent="0.2">
      <c r="A14" s="8" t="s">
        <v>197</v>
      </c>
    </row>
    <row r="15" spans="1:2" x14ac:dyDescent="0.2">
      <c r="A15" s="8" t="s">
        <v>198</v>
      </c>
    </row>
    <row r="16" spans="1:2" x14ac:dyDescent="0.2">
      <c r="A16" s="8" t="s">
        <v>199</v>
      </c>
    </row>
    <row r="17" spans="1:1" x14ac:dyDescent="0.2">
      <c r="A17" s="8" t="s">
        <v>200</v>
      </c>
    </row>
    <row r="18" spans="1:1" x14ac:dyDescent="0.2">
      <c r="A18" s="8" t="s">
        <v>201</v>
      </c>
    </row>
    <row r="19" spans="1:1" x14ac:dyDescent="0.2">
      <c r="A19" s="8" t="s">
        <v>202</v>
      </c>
    </row>
    <row r="20" spans="1:1" x14ac:dyDescent="0.2">
      <c r="A20" s="8" t="s">
        <v>203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I32"/>
  <sheetViews>
    <sheetView zoomScale="112" workbookViewId="0">
      <selection activeCell="C29" sqref="C29"/>
    </sheetView>
  </sheetViews>
  <sheetFormatPr baseColWidth="10" defaultColWidth="12.33203125" defaultRowHeight="16" x14ac:dyDescent="0.2"/>
  <cols>
    <col min="1" max="1" width="12.33203125" style="16"/>
    <col min="2" max="2" width="39.33203125" style="11" bestFit="1" customWidth="1"/>
    <col min="3" max="3" width="28.83203125" style="11" bestFit="1" customWidth="1"/>
    <col min="4" max="4" width="12.33203125" style="18"/>
    <col min="5" max="5" width="47" style="11" bestFit="1" customWidth="1"/>
    <col min="6" max="6" width="30.33203125" style="18" bestFit="1" customWidth="1"/>
    <col min="7" max="7" width="36" style="23" bestFit="1" customWidth="1"/>
    <col min="8" max="8" width="37.6640625" style="14" bestFit="1" customWidth="1"/>
    <col min="9" max="9" width="82" style="18" bestFit="1" customWidth="1"/>
    <col min="10" max="16384" width="12.33203125" style="11"/>
  </cols>
  <sheetData>
    <row r="1" spans="1:9" x14ac:dyDescent="0.2">
      <c r="A1" s="15" t="s">
        <v>12</v>
      </c>
      <c r="B1" s="9" t="s">
        <v>13</v>
      </c>
      <c r="C1" s="9" t="s">
        <v>14</v>
      </c>
      <c r="D1" s="17" t="s">
        <v>11</v>
      </c>
      <c r="E1" s="9" t="s">
        <v>15</v>
      </c>
      <c r="F1" s="17" t="s">
        <v>62</v>
      </c>
      <c r="G1" s="22" t="s">
        <v>63</v>
      </c>
      <c r="H1" s="10" t="s">
        <v>64</v>
      </c>
      <c r="I1" s="17" t="s">
        <v>0</v>
      </c>
    </row>
    <row r="2" spans="1:9" x14ac:dyDescent="0.2">
      <c r="A2" s="16" t="s">
        <v>319</v>
      </c>
      <c r="B2" s="11" t="s">
        <v>184</v>
      </c>
      <c r="C2" s="12" t="s">
        <v>74</v>
      </c>
      <c r="D2" s="18" t="s">
        <v>320</v>
      </c>
      <c r="E2" s="12" t="s">
        <v>31</v>
      </c>
      <c r="F2" s="18">
        <v>80</v>
      </c>
      <c r="G2" s="21" t="s">
        <v>445</v>
      </c>
      <c r="H2" s="13" t="s">
        <v>34</v>
      </c>
      <c r="I2" s="11"/>
    </row>
    <row r="3" spans="1:9" x14ac:dyDescent="0.2">
      <c r="A3" s="16" t="s">
        <v>319</v>
      </c>
      <c r="B3" s="11" t="s">
        <v>70</v>
      </c>
      <c r="C3" s="12" t="s">
        <v>77</v>
      </c>
      <c r="D3" s="18" t="s">
        <v>224</v>
      </c>
      <c r="E3" s="12" t="s">
        <v>20</v>
      </c>
      <c r="F3" s="18">
        <v>600</v>
      </c>
      <c r="G3" s="21" t="s">
        <v>439</v>
      </c>
      <c r="H3" s="13" t="s">
        <v>34</v>
      </c>
      <c r="I3" s="11"/>
    </row>
    <row r="4" spans="1:9" x14ac:dyDescent="0.2">
      <c r="A4" s="16" t="s">
        <v>319</v>
      </c>
      <c r="B4" s="11" t="s">
        <v>70</v>
      </c>
      <c r="C4" s="12" t="s">
        <v>77</v>
      </c>
      <c r="D4" s="18" t="s">
        <v>225</v>
      </c>
      <c r="E4" s="12" t="s">
        <v>20</v>
      </c>
      <c r="F4" s="18">
        <v>600</v>
      </c>
      <c r="G4" s="21" t="s">
        <v>440</v>
      </c>
      <c r="H4" s="13" t="s">
        <v>34</v>
      </c>
      <c r="I4" s="11"/>
    </row>
    <row r="5" spans="1:9" x14ac:dyDescent="0.2">
      <c r="A5" s="16" t="s">
        <v>319</v>
      </c>
      <c r="B5" s="11" t="s">
        <v>183</v>
      </c>
      <c r="C5" s="12" t="s">
        <v>75</v>
      </c>
      <c r="D5" s="18" t="s">
        <v>321</v>
      </c>
      <c r="E5" s="12" t="s">
        <v>31</v>
      </c>
      <c r="F5" s="18">
        <v>600</v>
      </c>
      <c r="G5" s="21" t="s">
        <v>446</v>
      </c>
      <c r="H5" s="13" t="s">
        <v>34</v>
      </c>
    </row>
    <row r="6" spans="1:9" x14ac:dyDescent="0.2">
      <c r="A6" s="16" t="s">
        <v>319</v>
      </c>
      <c r="B6" s="11" t="s">
        <v>204</v>
      </c>
      <c r="C6" s="12" t="s">
        <v>205</v>
      </c>
      <c r="D6" s="18" t="s">
        <v>322</v>
      </c>
      <c r="E6" s="12" t="s">
        <v>31</v>
      </c>
      <c r="F6" s="18">
        <v>2907</v>
      </c>
      <c r="G6" s="21" t="s">
        <v>447</v>
      </c>
      <c r="H6" s="13" t="s">
        <v>34</v>
      </c>
    </row>
    <row r="7" spans="1:9" x14ac:dyDescent="0.2">
      <c r="A7" s="16" t="s">
        <v>319</v>
      </c>
      <c r="B7" s="11" t="s">
        <v>71</v>
      </c>
      <c r="C7" s="12" t="s">
        <v>79</v>
      </c>
      <c r="D7" s="18" t="s">
        <v>226</v>
      </c>
      <c r="E7" s="12" t="s">
        <v>20</v>
      </c>
      <c r="F7" s="18">
        <v>2905</v>
      </c>
      <c r="G7" s="21" t="s">
        <v>441</v>
      </c>
      <c r="H7" s="13" t="s">
        <v>34</v>
      </c>
    </row>
    <row r="8" spans="1:9" x14ac:dyDescent="0.2">
      <c r="A8" s="16" t="s">
        <v>319</v>
      </c>
      <c r="B8" s="11" t="s">
        <v>71</v>
      </c>
      <c r="C8" s="12" t="s">
        <v>79</v>
      </c>
      <c r="D8" s="18" t="s">
        <v>227</v>
      </c>
      <c r="E8" s="12" t="s">
        <v>20</v>
      </c>
      <c r="F8" s="18">
        <v>2900</v>
      </c>
      <c r="G8" s="21" t="s">
        <v>442</v>
      </c>
      <c r="H8" s="13" t="s">
        <v>34</v>
      </c>
    </row>
    <row r="9" spans="1:9" x14ac:dyDescent="0.2">
      <c r="A9" s="16" t="s">
        <v>319</v>
      </c>
      <c r="B9" s="11" t="s">
        <v>66</v>
      </c>
      <c r="C9" s="12" t="s">
        <v>83</v>
      </c>
      <c r="D9" s="18" t="s">
        <v>228</v>
      </c>
      <c r="E9" s="12" t="s">
        <v>20</v>
      </c>
      <c r="F9" s="18">
        <v>2600</v>
      </c>
      <c r="G9" s="21" t="s">
        <v>443</v>
      </c>
      <c r="H9" s="13" t="s">
        <v>34</v>
      </c>
    </row>
    <row r="10" spans="1:9" x14ac:dyDescent="0.2">
      <c r="A10" s="16" t="s">
        <v>319</v>
      </c>
      <c r="B10" s="11" t="s">
        <v>66</v>
      </c>
      <c r="C10" s="12" t="s">
        <v>83</v>
      </c>
      <c r="D10" s="18" t="s">
        <v>323</v>
      </c>
      <c r="E10" s="12" t="s">
        <v>20</v>
      </c>
      <c r="F10" s="18">
        <v>2600</v>
      </c>
      <c r="G10" s="21" t="s">
        <v>444</v>
      </c>
      <c r="H10" s="13" t="s">
        <v>34</v>
      </c>
    </row>
    <row r="11" spans="1:9" x14ac:dyDescent="0.2">
      <c r="A11" s="16" t="s">
        <v>319</v>
      </c>
      <c r="B11" s="11" t="s">
        <v>222</v>
      </c>
      <c r="C11" s="12" t="s">
        <v>215</v>
      </c>
      <c r="D11" s="18" t="s">
        <v>324</v>
      </c>
      <c r="E11" s="12" t="s">
        <v>31</v>
      </c>
      <c r="F11" s="18">
        <v>1545</v>
      </c>
      <c r="G11" s="21" t="s">
        <v>448</v>
      </c>
      <c r="H11" s="13" t="s">
        <v>34</v>
      </c>
    </row>
    <row r="12" spans="1:9" x14ac:dyDescent="0.2">
      <c r="A12" s="16" t="s">
        <v>319</v>
      </c>
      <c r="B12" s="11" t="s">
        <v>222</v>
      </c>
      <c r="C12" s="12" t="s">
        <v>217</v>
      </c>
      <c r="D12" s="18" t="s">
        <v>325</v>
      </c>
      <c r="E12" s="12" t="s">
        <v>31</v>
      </c>
      <c r="F12" s="18">
        <v>1515</v>
      </c>
      <c r="G12" s="21" t="s">
        <v>449</v>
      </c>
      <c r="H12" s="13" t="s">
        <v>34</v>
      </c>
    </row>
    <row r="13" spans="1:9" x14ac:dyDescent="0.2">
      <c r="A13" s="16" t="s">
        <v>319</v>
      </c>
      <c r="B13" s="11" t="s">
        <v>220</v>
      </c>
      <c r="C13" s="12" t="s">
        <v>221</v>
      </c>
      <c r="D13" s="18" t="s">
        <v>326</v>
      </c>
      <c r="E13" s="12" t="s">
        <v>31</v>
      </c>
      <c r="F13" s="18">
        <v>1530</v>
      </c>
      <c r="G13" s="21" t="s">
        <v>450</v>
      </c>
      <c r="H13" s="13" t="s">
        <v>34</v>
      </c>
    </row>
    <row r="14" spans="1:9" x14ac:dyDescent="0.2">
      <c r="A14" s="16" t="s">
        <v>319</v>
      </c>
      <c r="B14" s="11" t="s">
        <v>213</v>
      </c>
      <c r="C14" s="12" t="s">
        <v>216</v>
      </c>
      <c r="D14" s="18" t="s">
        <v>327</v>
      </c>
      <c r="E14" s="12" t="s">
        <v>31</v>
      </c>
      <c r="F14" s="18">
        <v>1545</v>
      </c>
      <c r="G14" s="21" t="s">
        <v>451</v>
      </c>
      <c r="H14" s="13" t="s">
        <v>34</v>
      </c>
    </row>
    <row r="15" spans="1:9" x14ac:dyDescent="0.2">
      <c r="C15" s="12"/>
      <c r="E15" s="12"/>
      <c r="G15" s="21"/>
      <c r="H15" s="13"/>
    </row>
    <row r="16" spans="1:9" x14ac:dyDescent="0.2">
      <c r="C16" s="12"/>
      <c r="E16" s="12"/>
      <c r="G16" s="21"/>
      <c r="H16" s="13"/>
    </row>
    <row r="17" spans="3:8" x14ac:dyDescent="0.2">
      <c r="C17" s="12"/>
      <c r="E17" s="12"/>
      <c r="G17" s="24"/>
      <c r="H17" s="13"/>
    </row>
    <row r="18" spans="3:8" x14ac:dyDescent="0.2">
      <c r="C18" s="12"/>
      <c r="E18" s="12"/>
      <c r="G18" s="21"/>
      <c r="H18" s="13"/>
    </row>
    <row r="19" spans="3:8" x14ac:dyDescent="0.2">
      <c r="C19" s="12"/>
      <c r="E19" s="12"/>
      <c r="G19" s="24"/>
      <c r="H19" s="13"/>
    </row>
    <row r="20" spans="3:8" x14ac:dyDescent="0.2">
      <c r="C20" s="12"/>
      <c r="E20" s="12"/>
      <c r="G20" s="24"/>
      <c r="H20" s="13"/>
    </row>
    <row r="21" spans="3:8" x14ac:dyDescent="0.2">
      <c r="C21" s="12"/>
      <c r="E21" s="12"/>
      <c r="G21" s="21"/>
      <c r="H21" s="13"/>
    </row>
    <row r="22" spans="3:8" x14ac:dyDescent="0.2">
      <c r="C22" s="12"/>
      <c r="E22" s="12"/>
      <c r="G22" s="21"/>
      <c r="H22" s="13"/>
    </row>
    <row r="23" spans="3:8" x14ac:dyDescent="0.2">
      <c r="C23" s="12"/>
      <c r="E23" s="12"/>
      <c r="G23" s="24"/>
      <c r="H23" s="13"/>
    </row>
    <row r="24" spans="3:8" x14ac:dyDescent="0.2">
      <c r="C24" s="12"/>
      <c r="E24" s="12"/>
      <c r="G24" s="24"/>
      <c r="H24" s="13"/>
    </row>
    <row r="25" spans="3:8" x14ac:dyDescent="0.2">
      <c r="C25" s="12"/>
      <c r="E25" s="12"/>
      <c r="G25" s="24"/>
      <c r="H25" s="13"/>
    </row>
    <row r="26" spans="3:8" x14ac:dyDescent="0.2">
      <c r="C26" s="12"/>
      <c r="E26" s="12"/>
      <c r="H26" s="13"/>
    </row>
    <row r="27" spans="3:8" x14ac:dyDescent="0.2">
      <c r="C27" s="12"/>
      <c r="E27" s="12"/>
      <c r="H27" s="13"/>
    </row>
    <row r="28" spans="3:8" x14ac:dyDescent="0.2">
      <c r="C28" s="12"/>
      <c r="E28" s="12"/>
      <c r="H28" s="13"/>
    </row>
    <row r="29" spans="3:8" x14ac:dyDescent="0.2">
      <c r="C29" s="12"/>
      <c r="E29" s="12"/>
      <c r="H29" s="13"/>
    </row>
    <row r="30" spans="3:8" x14ac:dyDescent="0.2">
      <c r="C30" s="12"/>
      <c r="H30" s="13"/>
    </row>
    <row r="31" spans="3:8" x14ac:dyDescent="0.2">
      <c r="C31" s="12"/>
    </row>
    <row r="32" spans="3:8" x14ac:dyDescent="0.2">
      <c r="C32" s="12"/>
    </row>
  </sheetData>
  <phoneticPr fontId="6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1000000}">
          <x14:formula1>
            <xm:f>_Flags_!$C$2:$C$17</xm:f>
          </x14:formula1>
          <xm:sqref>H2:H30</xm:sqref>
        </x14:dataValidation>
        <x14:dataValidation type="list" allowBlank="1" showInputMessage="1" showErrorMessage="1" xr:uid="{00000000-0002-0000-0100-000002000000}">
          <x14:formula1>
            <xm:f>'  _Stations_  '!$A$1:$A$55</xm:f>
          </x14:formula1>
          <xm:sqref>B24:B26 B28:B30</xm:sqref>
        </x14:dataValidation>
        <x14:dataValidation type="list" allowBlank="1" showInputMessage="1" showErrorMessage="1" xr:uid="{00000000-0002-0000-0100-000005000000}">
          <x14:formula1>
            <xm:f>'  _Stations_  '!$A:$A</xm:f>
          </x14:formula1>
          <xm:sqref>B2:B23 B27</xm:sqref>
        </x14:dataValidation>
        <x14:dataValidation type="list" allowBlank="1" showInputMessage="1" showErrorMessage="1" xr:uid="{00000000-0002-0000-0100-000004000000}">
          <x14:formula1>
            <xm:f>_TargetAssets_!$A$1:$A$20</xm:f>
          </x14:formula1>
          <xm:sqref>C24:C25 C31:C32</xm:sqref>
        </x14:dataValidation>
        <x14:dataValidation type="list" allowBlank="1" showInputMessage="1" showErrorMessage="1" xr:uid="{00000000-0002-0000-0100-000003000000}">
          <x14:formula1>
            <xm:f>_TargetAssets_!$A:$A</xm:f>
          </x14:formula1>
          <xm:sqref>C2:C23 C26:C30</xm:sqref>
        </x14:dataValidation>
        <x14:dataValidation type="list" allowBlank="1" showInputMessage="1" showErrorMessage="1" xr:uid="{00000000-0002-0000-0100-000000000000}">
          <x14:formula1>
            <xm:f>_Flags_!$B$2:$B$17</xm:f>
          </x14:formula1>
          <xm:sqref>E2:E29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92D050"/>
  </sheetPr>
  <dimension ref="A1:J56"/>
  <sheetViews>
    <sheetView zoomScale="150" workbookViewId="0">
      <selection activeCell="D10" sqref="D10"/>
    </sheetView>
  </sheetViews>
  <sheetFormatPr baseColWidth="10" defaultRowHeight="16" x14ac:dyDescent="0.2"/>
  <cols>
    <col min="1" max="1" width="10.83203125" style="11"/>
    <col min="2" max="2" width="7.5" style="11" bestFit="1" customWidth="1"/>
    <col min="3" max="3" width="20.83203125" style="11" bestFit="1" customWidth="1"/>
    <col min="4" max="4" width="22.33203125" style="11" bestFit="1" customWidth="1"/>
    <col min="5" max="5" width="26.6640625" style="11" bestFit="1" customWidth="1"/>
    <col min="6" max="6" width="23.33203125" style="11" customWidth="1"/>
    <col min="7" max="7" width="45.33203125" style="11" customWidth="1"/>
    <col min="8" max="8" width="8.1640625" style="11" bestFit="1" customWidth="1"/>
    <col min="9" max="9" width="45.6640625" style="11" bestFit="1" customWidth="1"/>
    <col min="10" max="10" width="52.5" style="11" bestFit="1" customWidth="1"/>
    <col min="11" max="16384" width="10.83203125" style="11"/>
  </cols>
  <sheetData>
    <row r="1" spans="1:10" x14ac:dyDescent="0.2">
      <c r="A1" s="15" t="s">
        <v>12</v>
      </c>
      <c r="B1" s="28" t="s">
        <v>136</v>
      </c>
      <c r="C1" s="28" t="s">
        <v>137</v>
      </c>
      <c r="D1" s="28" t="s">
        <v>138</v>
      </c>
      <c r="E1" s="28" t="s">
        <v>135</v>
      </c>
      <c r="F1" s="28" t="s">
        <v>134</v>
      </c>
      <c r="G1" s="28" t="s">
        <v>133</v>
      </c>
      <c r="H1" s="28" t="s">
        <v>132</v>
      </c>
      <c r="I1" s="28" t="s">
        <v>131</v>
      </c>
      <c r="J1" s="28" t="s">
        <v>0</v>
      </c>
    </row>
    <row r="2" spans="1:10" x14ac:dyDescent="0.2">
      <c r="A2" s="11" t="s">
        <v>319</v>
      </c>
      <c r="B2" s="11" t="s">
        <v>320</v>
      </c>
      <c r="C2" s="11">
        <v>44.637273999999998</v>
      </c>
      <c r="D2" s="11">
        <v>-124.30551699999999</v>
      </c>
      <c r="E2" s="11" t="s">
        <v>452</v>
      </c>
      <c r="F2" s="11" t="s">
        <v>94</v>
      </c>
      <c r="G2" s="11" t="s">
        <v>456</v>
      </c>
      <c r="H2" s="11">
        <v>80.41</v>
      </c>
      <c r="I2" s="11" t="s">
        <v>457</v>
      </c>
      <c r="J2" s="11" t="s">
        <v>477</v>
      </c>
    </row>
    <row r="3" spans="1:10" x14ac:dyDescent="0.2">
      <c r="A3" s="11" t="s">
        <v>319</v>
      </c>
      <c r="B3" s="11" t="s">
        <v>320</v>
      </c>
      <c r="C3" s="11">
        <v>44.637273999999998</v>
      </c>
      <c r="D3" s="11">
        <v>-124.30551699999999</v>
      </c>
      <c r="E3" s="11" t="s">
        <v>453</v>
      </c>
      <c r="F3" s="11" t="s">
        <v>93</v>
      </c>
      <c r="G3" s="11" t="s">
        <v>455</v>
      </c>
      <c r="H3" s="11">
        <v>80.38</v>
      </c>
      <c r="I3" s="11" t="s">
        <v>458</v>
      </c>
    </row>
    <row r="4" spans="1:10" x14ac:dyDescent="0.2">
      <c r="A4" s="11" t="s">
        <v>319</v>
      </c>
      <c r="B4" s="11" t="s">
        <v>321</v>
      </c>
      <c r="C4" s="11">
        <v>44.368865700000001</v>
      </c>
      <c r="D4" s="11">
        <v>-124.9541463</v>
      </c>
      <c r="E4" s="11" t="s">
        <v>459</v>
      </c>
      <c r="F4" s="11" t="s">
        <v>94</v>
      </c>
      <c r="G4" s="11" t="s">
        <v>454</v>
      </c>
      <c r="H4" s="11">
        <v>578.30999999999995</v>
      </c>
      <c r="I4" s="11" t="s">
        <v>460</v>
      </c>
    </row>
    <row r="5" spans="1:10" x14ac:dyDescent="0.2">
      <c r="A5" s="11" t="s">
        <v>319</v>
      </c>
      <c r="B5" s="11" t="s">
        <v>322</v>
      </c>
      <c r="C5" s="11">
        <v>44.448141100000001</v>
      </c>
      <c r="D5" s="11">
        <v>-125.6504601</v>
      </c>
      <c r="E5" s="11" t="s">
        <v>461</v>
      </c>
      <c r="F5" s="11" t="s">
        <v>94</v>
      </c>
      <c r="G5" s="11" t="s">
        <v>454</v>
      </c>
      <c r="H5" s="11">
        <v>2900.4</v>
      </c>
      <c r="I5" s="11" t="s">
        <v>464</v>
      </c>
    </row>
    <row r="6" spans="1:10" x14ac:dyDescent="0.2">
      <c r="A6" s="11" t="s">
        <v>319</v>
      </c>
      <c r="B6" s="11" t="s">
        <v>322</v>
      </c>
      <c r="C6" s="11">
        <v>44.448141300000003</v>
      </c>
      <c r="D6" s="11">
        <v>-125.65045910000001</v>
      </c>
      <c r="E6" s="11" t="s">
        <v>462</v>
      </c>
      <c r="F6" s="11" t="s">
        <v>93</v>
      </c>
      <c r="G6" s="11" t="s">
        <v>463</v>
      </c>
      <c r="H6" s="11">
        <v>2900.42</v>
      </c>
      <c r="I6" s="11" t="s">
        <v>465</v>
      </c>
    </row>
    <row r="7" spans="1:10" x14ac:dyDescent="0.2">
      <c r="A7" s="11" t="s">
        <v>319</v>
      </c>
      <c r="B7" s="11" t="s">
        <v>324</v>
      </c>
      <c r="C7" s="11">
        <v>45.9337388</v>
      </c>
      <c r="D7" s="11">
        <v>-130.0138465</v>
      </c>
      <c r="E7" s="11" t="s">
        <v>466</v>
      </c>
      <c r="F7" s="11" t="s">
        <v>94</v>
      </c>
      <c r="G7" s="11" t="s">
        <v>467</v>
      </c>
      <c r="H7" s="11">
        <v>1539.43</v>
      </c>
      <c r="I7" s="11" t="s">
        <v>468</v>
      </c>
    </row>
    <row r="8" spans="1:10" x14ac:dyDescent="0.2">
      <c r="A8" s="11" t="s">
        <v>319</v>
      </c>
      <c r="B8" s="11" t="s">
        <v>325</v>
      </c>
      <c r="C8" s="11">
        <v>45.933579999999999</v>
      </c>
      <c r="D8" s="11">
        <v>-130.0139969</v>
      </c>
      <c r="E8" s="11" t="s">
        <v>469</v>
      </c>
      <c r="F8" s="11" t="s">
        <v>94</v>
      </c>
      <c r="G8" s="11" t="s">
        <v>470</v>
      </c>
      <c r="H8" s="11">
        <v>1516.62</v>
      </c>
      <c r="I8" s="11" t="s">
        <v>471</v>
      </c>
    </row>
    <row r="9" spans="1:10" x14ac:dyDescent="0.2">
      <c r="A9" s="11" t="s">
        <v>319</v>
      </c>
      <c r="B9" s="11" t="s">
        <v>326</v>
      </c>
      <c r="C9" s="11">
        <v>45.925766099999997</v>
      </c>
      <c r="D9" s="11">
        <v>-129.97770980000001</v>
      </c>
      <c r="E9" s="11" t="s">
        <v>472</v>
      </c>
      <c r="F9" s="11" t="s">
        <v>94</v>
      </c>
      <c r="G9" s="11" t="s">
        <v>467</v>
      </c>
      <c r="H9" s="11">
        <v>1527.85</v>
      </c>
      <c r="I9" s="11" t="s">
        <v>473</v>
      </c>
    </row>
    <row r="10" spans="1:10" x14ac:dyDescent="0.2">
      <c r="A10" s="11" t="s">
        <v>319</v>
      </c>
      <c r="B10" s="11" t="s">
        <v>327</v>
      </c>
      <c r="C10" s="11">
        <v>45.9548937</v>
      </c>
      <c r="D10" s="11">
        <v>-130.0089787</v>
      </c>
      <c r="E10" s="11" t="s">
        <v>474</v>
      </c>
      <c r="F10" s="11" t="s">
        <v>93</v>
      </c>
      <c r="G10" s="11" t="s">
        <v>475</v>
      </c>
      <c r="H10" s="11">
        <v>1524.03</v>
      </c>
      <c r="I10" s="11" t="s">
        <v>476</v>
      </c>
    </row>
    <row r="14" spans="1:10" x14ac:dyDescent="0.2">
      <c r="B14" s="35"/>
    </row>
    <row r="15" spans="1:10" x14ac:dyDescent="0.2">
      <c r="B15" s="35"/>
    </row>
    <row r="16" spans="1:10" x14ac:dyDescent="0.2">
      <c r="B16" s="35"/>
    </row>
    <row r="17" spans="2:8" x14ac:dyDescent="0.2">
      <c r="B17" s="35"/>
    </row>
    <row r="18" spans="2:8" x14ac:dyDescent="0.2">
      <c r="B18" s="35"/>
    </row>
    <row r="20" spans="2:8" x14ac:dyDescent="0.2">
      <c r="B20" s="35"/>
    </row>
    <row r="21" spans="2:8" x14ac:dyDescent="0.2">
      <c r="B21" s="35"/>
    </row>
    <row r="22" spans="2:8" x14ac:dyDescent="0.2">
      <c r="B22" s="35"/>
    </row>
    <row r="32" spans="2:8" x14ac:dyDescent="0.2">
      <c r="H32" s="27"/>
    </row>
    <row r="51" spans="5:5" x14ac:dyDescent="0.2">
      <c r="E51" s="25"/>
    </row>
    <row r="52" spans="5:5" x14ac:dyDescent="0.2">
      <c r="E52" s="25"/>
    </row>
    <row r="53" spans="5:5" x14ac:dyDescent="0.2">
      <c r="E53" s="25"/>
    </row>
    <row r="54" spans="5:5" x14ac:dyDescent="0.2">
      <c r="E54" s="25"/>
    </row>
    <row r="55" spans="5:5" x14ac:dyDescent="0.2">
      <c r="E55" s="25"/>
    </row>
    <row r="56" spans="5:5" x14ac:dyDescent="0.2">
      <c r="E56" s="2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D7FF7-F4FA-1848-84F0-9BDD389B94F7}">
          <x14:formula1>
            <xm:f>_NiskinBottles_!$A:$A</xm:f>
          </x14:formula1>
          <xm:sqref>F26:F38 F2:F24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92D050"/>
  </sheetPr>
  <dimension ref="A1:AC680"/>
  <sheetViews>
    <sheetView tabSelected="1" zoomScale="181" workbookViewId="0">
      <selection activeCell="AC80" sqref="AC80"/>
    </sheetView>
  </sheetViews>
  <sheetFormatPr baseColWidth="10" defaultRowHeight="16" x14ac:dyDescent="0.2"/>
  <cols>
    <col min="1" max="1" width="8.5" style="11" bestFit="1" customWidth="1"/>
    <col min="2" max="2" width="19.1640625" style="11" bestFit="1" customWidth="1"/>
    <col min="3" max="3" width="17" style="11" customWidth="1"/>
    <col min="4" max="4" width="11.83203125" style="20" customWidth="1"/>
    <col min="5" max="5" width="20" style="20" customWidth="1"/>
    <col min="6" max="6" width="46.83203125" style="11" customWidth="1"/>
    <col min="7" max="7" width="31.33203125" style="11" customWidth="1"/>
    <col min="8" max="8" width="16.6640625" style="20" customWidth="1"/>
    <col min="9" max="9" width="25.6640625" style="11" customWidth="1"/>
    <col min="10" max="10" width="31.33203125" style="11" customWidth="1"/>
    <col min="11" max="11" width="21.6640625" style="20" customWidth="1"/>
    <col min="12" max="12" width="20" style="11" customWidth="1"/>
    <col min="13" max="13" width="28.5" style="11" customWidth="1"/>
    <col min="14" max="14" width="18.33203125" style="20" customWidth="1"/>
    <col min="15" max="15" width="16.83203125" style="11" customWidth="1"/>
    <col min="16" max="16" width="25.1640625" style="11" customWidth="1"/>
    <col min="17" max="17" width="16" style="20" customWidth="1"/>
    <col min="18" max="18" width="14.5" style="11" customWidth="1"/>
    <col min="19" max="19" width="23" style="11" customWidth="1"/>
    <col min="20" max="20" width="20.83203125" style="20" customWidth="1"/>
    <col min="21" max="21" width="20.1640625" style="11" customWidth="1"/>
    <col min="22" max="22" width="28.6640625" style="11" customWidth="1"/>
    <col min="23" max="23" width="20" style="20" customWidth="1"/>
    <col min="24" max="24" width="18.5" style="11" customWidth="1"/>
    <col min="25" max="25" width="27" style="11" customWidth="1"/>
    <col min="26" max="26" width="23.1640625" style="26" customWidth="1"/>
    <col min="27" max="27" width="46.83203125" style="11" customWidth="1"/>
    <col min="28" max="28" width="31.83203125" style="11" customWidth="1"/>
    <col min="29" max="29" width="106" style="20" bestFit="1" customWidth="1"/>
    <col min="30" max="16384" width="10.83203125" style="11"/>
  </cols>
  <sheetData>
    <row r="1" spans="1:29" ht="44" customHeight="1" x14ac:dyDescent="0.2">
      <c r="A1" s="9" t="s">
        <v>11</v>
      </c>
      <c r="B1" s="9" t="s">
        <v>65</v>
      </c>
      <c r="C1" s="9" t="s">
        <v>16</v>
      </c>
      <c r="D1" s="19" t="s">
        <v>84</v>
      </c>
      <c r="E1" s="19" t="s">
        <v>107</v>
      </c>
      <c r="F1" s="9" t="s">
        <v>97</v>
      </c>
      <c r="G1" s="9" t="s">
        <v>98</v>
      </c>
      <c r="H1" s="19" t="s">
        <v>111</v>
      </c>
      <c r="I1" s="9" t="s">
        <v>105</v>
      </c>
      <c r="J1" s="9" t="s">
        <v>106</v>
      </c>
      <c r="K1" s="19" t="s">
        <v>145</v>
      </c>
      <c r="L1" s="9" t="s">
        <v>139</v>
      </c>
      <c r="M1" s="9" t="s">
        <v>140</v>
      </c>
      <c r="N1" s="19" t="s">
        <v>146</v>
      </c>
      <c r="O1" s="9" t="s">
        <v>141</v>
      </c>
      <c r="P1" s="9" t="s">
        <v>142</v>
      </c>
      <c r="Q1" s="19" t="s">
        <v>147</v>
      </c>
      <c r="R1" s="9" t="s">
        <v>143</v>
      </c>
      <c r="S1" s="9" t="s">
        <v>144</v>
      </c>
      <c r="T1" s="19" t="s">
        <v>110</v>
      </c>
      <c r="U1" s="9" t="s">
        <v>101</v>
      </c>
      <c r="V1" s="9" t="s">
        <v>102</v>
      </c>
      <c r="W1" s="19" t="s">
        <v>109</v>
      </c>
      <c r="X1" s="9" t="s">
        <v>103</v>
      </c>
      <c r="Y1" s="9" t="s">
        <v>104</v>
      </c>
      <c r="Z1" s="33" t="s">
        <v>108</v>
      </c>
      <c r="AA1" s="9" t="s">
        <v>99</v>
      </c>
      <c r="AB1" s="9" t="s">
        <v>100</v>
      </c>
      <c r="AC1" s="19" t="s">
        <v>0</v>
      </c>
    </row>
    <row r="2" spans="1:29" x14ac:dyDescent="0.2">
      <c r="A2" s="11" t="s">
        <v>320</v>
      </c>
      <c r="B2" s="11" t="s">
        <v>94</v>
      </c>
      <c r="C2" s="11" t="s">
        <v>47</v>
      </c>
      <c r="D2" s="20">
        <v>80</v>
      </c>
      <c r="E2" s="20" t="s">
        <v>328</v>
      </c>
      <c r="F2" s="11" t="s">
        <v>54</v>
      </c>
      <c r="G2" s="12" t="s">
        <v>59</v>
      </c>
      <c r="J2" s="12"/>
      <c r="P2" s="12"/>
      <c r="V2" s="12"/>
      <c r="Y2" s="12"/>
      <c r="Z2" s="26" t="s">
        <v>277</v>
      </c>
      <c r="AB2" s="12" t="s">
        <v>58</v>
      </c>
    </row>
    <row r="3" spans="1:29" x14ac:dyDescent="0.2">
      <c r="A3" s="11" t="s">
        <v>320</v>
      </c>
      <c r="B3" s="11" t="s">
        <v>94</v>
      </c>
      <c r="C3" s="11" t="s">
        <v>47</v>
      </c>
      <c r="D3" s="20">
        <v>80</v>
      </c>
      <c r="E3" s="20" t="s">
        <v>329</v>
      </c>
      <c r="F3" s="11" t="s">
        <v>54</v>
      </c>
      <c r="G3" s="12" t="s">
        <v>59</v>
      </c>
      <c r="J3" s="12"/>
      <c r="P3" s="12"/>
      <c r="V3" s="12"/>
      <c r="Y3" s="12"/>
      <c r="AB3" s="12"/>
    </row>
    <row r="4" spans="1:29" x14ac:dyDescent="0.2">
      <c r="A4" s="11" t="s">
        <v>320</v>
      </c>
      <c r="B4" s="11" t="s">
        <v>93</v>
      </c>
      <c r="C4" s="11" t="s">
        <v>47</v>
      </c>
      <c r="D4" s="20">
        <v>80</v>
      </c>
      <c r="G4" s="12"/>
      <c r="H4" s="20" t="s">
        <v>229</v>
      </c>
      <c r="J4" s="12" t="s">
        <v>58</v>
      </c>
      <c r="V4" s="12"/>
      <c r="W4" s="20" t="s">
        <v>231</v>
      </c>
      <c r="Y4" s="12" t="s">
        <v>58</v>
      </c>
      <c r="AB4" s="12"/>
    </row>
    <row r="5" spans="1:29" x14ac:dyDescent="0.2">
      <c r="A5" s="11" t="s">
        <v>224</v>
      </c>
      <c r="B5" s="11">
        <v>1</v>
      </c>
      <c r="C5" s="12" t="s">
        <v>47</v>
      </c>
      <c r="D5" s="20">
        <v>220</v>
      </c>
      <c r="E5" s="20" t="s">
        <v>330</v>
      </c>
      <c r="F5" s="11" t="s">
        <v>54</v>
      </c>
      <c r="G5" s="12" t="s">
        <v>59</v>
      </c>
      <c r="H5" s="20" t="s">
        <v>230</v>
      </c>
      <c r="J5" s="12" t="s">
        <v>58</v>
      </c>
      <c r="P5" s="12"/>
      <c r="T5" s="20" t="s">
        <v>332</v>
      </c>
      <c r="V5" s="12" t="s">
        <v>58</v>
      </c>
      <c r="Y5" s="12"/>
      <c r="AB5" s="12"/>
    </row>
    <row r="6" spans="1:29" x14ac:dyDescent="0.2">
      <c r="A6" s="11" t="s">
        <v>224</v>
      </c>
      <c r="B6" s="11">
        <v>1</v>
      </c>
      <c r="C6" s="12" t="s">
        <v>47</v>
      </c>
      <c r="D6" s="20">
        <v>220</v>
      </c>
      <c r="E6" s="20" t="s">
        <v>333</v>
      </c>
      <c r="F6" s="11" t="s">
        <v>54</v>
      </c>
      <c r="G6" s="12" t="s">
        <v>59</v>
      </c>
      <c r="J6" s="12"/>
      <c r="P6" s="12"/>
      <c r="V6" s="12"/>
      <c r="Y6" s="12"/>
      <c r="AB6" s="12"/>
    </row>
    <row r="7" spans="1:29" x14ac:dyDescent="0.2">
      <c r="A7" s="11" t="s">
        <v>224</v>
      </c>
      <c r="B7" s="11">
        <v>3</v>
      </c>
      <c r="C7" s="12" t="s">
        <v>47</v>
      </c>
      <c r="D7" s="20">
        <v>200</v>
      </c>
      <c r="G7" s="12"/>
      <c r="H7" s="20" t="s">
        <v>232</v>
      </c>
      <c r="J7" s="12" t="s">
        <v>58</v>
      </c>
      <c r="P7" s="12"/>
      <c r="T7" s="20" t="s">
        <v>334</v>
      </c>
      <c r="V7" s="12" t="s">
        <v>58</v>
      </c>
      <c r="W7" s="20" t="s">
        <v>237</v>
      </c>
      <c r="Y7" s="12" t="s">
        <v>58</v>
      </c>
      <c r="AB7" s="12"/>
    </row>
    <row r="8" spans="1:29" x14ac:dyDescent="0.2">
      <c r="A8" s="11" t="s">
        <v>224</v>
      </c>
      <c r="B8" s="11">
        <v>5</v>
      </c>
      <c r="C8" s="12" t="s">
        <v>47</v>
      </c>
      <c r="D8" s="20">
        <v>180</v>
      </c>
      <c r="G8" s="12"/>
      <c r="H8" s="20" t="s">
        <v>234</v>
      </c>
      <c r="J8" s="12" t="s">
        <v>58</v>
      </c>
      <c r="P8" s="12"/>
      <c r="T8" s="20" t="s">
        <v>335</v>
      </c>
      <c r="V8" s="12" t="s">
        <v>58</v>
      </c>
      <c r="Y8" s="12"/>
      <c r="AB8" s="12"/>
    </row>
    <row r="9" spans="1:29" x14ac:dyDescent="0.2">
      <c r="A9" s="11" t="s">
        <v>224</v>
      </c>
      <c r="B9" s="11">
        <v>6</v>
      </c>
      <c r="C9" s="12" t="s">
        <v>47</v>
      </c>
      <c r="D9" s="20">
        <v>180</v>
      </c>
      <c r="G9" s="12"/>
      <c r="J9" s="12"/>
      <c r="P9" s="12"/>
      <c r="V9" s="12"/>
      <c r="Y9" s="12"/>
      <c r="Z9" s="26" t="s">
        <v>233</v>
      </c>
      <c r="AB9" s="12" t="s">
        <v>58</v>
      </c>
    </row>
    <row r="10" spans="1:29" x14ac:dyDescent="0.2">
      <c r="A10" s="11" t="s">
        <v>224</v>
      </c>
      <c r="B10" s="11">
        <v>7</v>
      </c>
      <c r="C10" s="12" t="s">
        <v>47</v>
      </c>
      <c r="D10" s="20">
        <v>160</v>
      </c>
      <c r="E10" s="20" t="s">
        <v>331</v>
      </c>
      <c r="F10" s="11" t="s">
        <v>54</v>
      </c>
      <c r="G10" s="12" t="s">
        <v>59</v>
      </c>
      <c r="H10" s="20" t="s">
        <v>235</v>
      </c>
      <c r="J10" s="12" t="s">
        <v>58</v>
      </c>
      <c r="P10" s="12"/>
      <c r="V10" s="12"/>
      <c r="W10" s="20" t="s">
        <v>241</v>
      </c>
      <c r="Y10" s="12" t="s">
        <v>58</v>
      </c>
      <c r="AB10" s="12"/>
    </row>
    <row r="11" spans="1:29" x14ac:dyDescent="0.2">
      <c r="A11" s="11" t="s">
        <v>224</v>
      </c>
      <c r="B11" s="11">
        <v>7</v>
      </c>
      <c r="C11" s="12" t="s">
        <v>47</v>
      </c>
      <c r="D11" s="20">
        <v>160</v>
      </c>
      <c r="E11" s="20" t="s">
        <v>333</v>
      </c>
      <c r="F11" s="11" t="s">
        <v>54</v>
      </c>
      <c r="G11" s="12" t="s">
        <v>59</v>
      </c>
      <c r="J11" s="12"/>
      <c r="P11" s="12"/>
      <c r="V11" s="12"/>
      <c r="Y11" s="12"/>
      <c r="AB11" s="12"/>
    </row>
    <row r="12" spans="1:29" x14ac:dyDescent="0.2">
      <c r="A12" s="11" t="s">
        <v>224</v>
      </c>
      <c r="B12" s="11">
        <v>9</v>
      </c>
      <c r="C12" s="12" t="s">
        <v>47</v>
      </c>
      <c r="D12" s="20">
        <v>140</v>
      </c>
      <c r="G12" s="12"/>
      <c r="H12" s="20" t="s">
        <v>236</v>
      </c>
      <c r="J12" s="12" t="s">
        <v>58</v>
      </c>
      <c r="P12" s="12"/>
      <c r="T12" s="20" t="s">
        <v>336</v>
      </c>
      <c r="V12" s="12" t="s">
        <v>58</v>
      </c>
      <c r="Y12" s="12"/>
      <c r="AB12" s="12"/>
    </row>
    <row r="13" spans="1:29" x14ac:dyDescent="0.2">
      <c r="A13" s="11" t="s">
        <v>224</v>
      </c>
      <c r="B13" s="11">
        <v>10</v>
      </c>
      <c r="C13" s="12" t="s">
        <v>47</v>
      </c>
      <c r="D13" s="20">
        <v>140</v>
      </c>
      <c r="G13" s="12"/>
      <c r="J13" s="12"/>
      <c r="P13" s="12"/>
      <c r="V13" s="12"/>
      <c r="Y13" s="12"/>
      <c r="Z13" s="26" t="s">
        <v>396</v>
      </c>
      <c r="AB13" s="12" t="s">
        <v>58</v>
      </c>
    </row>
    <row r="14" spans="1:29" x14ac:dyDescent="0.2">
      <c r="A14" s="11" t="s">
        <v>224</v>
      </c>
      <c r="B14" s="11">
        <v>11</v>
      </c>
      <c r="C14" s="12" t="s">
        <v>47</v>
      </c>
      <c r="D14" s="20">
        <v>120</v>
      </c>
      <c r="E14" s="20" t="s">
        <v>337</v>
      </c>
      <c r="F14" s="11" t="s">
        <v>54</v>
      </c>
      <c r="G14" s="12" t="s">
        <v>59</v>
      </c>
      <c r="H14" s="20" t="s">
        <v>239</v>
      </c>
      <c r="J14" s="12" t="s">
        <v>58</v>
      </c>
      <c r="P14" s="12"/>
      <c r="T14" s="20" t="s">
        <v>339</v>
      </c>
      <c r="V14" s="12" t="s">
        <v>58</v>
      </c>
      <c r="W14" s="20" t="s">
        <v>246</v>
      </c>
      <c r="Y14" s="12" t="s">
        <v>58</v>
      </c>
      <c r="AB14" s="12"/>
    </row>
    <row r="15" spans="1:29" x14ac:dyDescent="0.2">
      <c r="A15" s="11" t="s">
        <v>224</v>
      </c>
      <c r="B15" s="11">
        <v>11</v>
      </c>
      <c r="C15" s="12" t="s">
        <v>47</v>
      </c>
      <c r="D15" s="20">
        <v>120</v>
      </c>
      <c r="E15" s="20" t="s">
        <v>338</v>
      </c>
      <c r="F15" s="11" t="s">
        <v>54</v>
      </c>
      <c r="G15" s="12" t="s">
        <v>59</v>
      </c>
      <c r="J15" s="12"/>
      <c r="P15" s="12"/>
      <c r="V15" s="12"/>
      <c r="Y15" s="12"/>
      <c r="AB15" s="12"/>
    </row>
    <row r="16" spans="1:29" x14ac:dyDescent="0.2">
      <c r="A16" s="11" t="s">
        <v>224</v>
      </c>
      <c r="B16" s="11">
        <v>12</v>
      </c>
      <c r="C16" s="12" t="s">
        <v>47</v>
      </c>
      <c r="D16" s="20">
        <v>120</v>
      </c>
      <c r="G16" s="12"/>
      <c r="J16" s="12"/>
      <c r="P16" s="12"/>
      <c r="V16" s="12"/>
      <c r="Y16" s="12"/>
      <c r="Z16" s="26" t="s">
        <v>340</v>
      </c>
      <c r="AB16" s="12" t="s">
        <v>58</v>
      </c>
    </row>
    <row r="17" spans="1:29" x14ac:dyDescent="0.2">
      <c r="A17" s="11" t="s">
        <v>224</v>
      </c>
      <c r="B17" s="11">
        <v>13</v>
      </c>
      <c r="C17" s="12" t="s">
        <v>47</v>
      </c>
      <c r="D17" s="20">
        <v>100</v>
      </c>
      <c r="G17" s="12"/>
      <c r="H17" s="20" t="s">
        <v>240</v>
      </c>
      <c r="J17" s="12" t="s">
        <v>58</v>
      </c>
      <c r="P17" s="12"/>
      <c r="T17" s="20" t="s">
        <v>341</v>
      </c>
      <c r="V17" s="12" t="s">
        <v>58</v>
      </c>
      <c r="Y17" s="12"/>
      <c r="AB17" s="12"/>
    </row>
    <row r="18" spans="1:29" x14ac:dyDescent="0.2">
      <c r="A18" s="11" t="s">
        <v>224</v>
      </c>
      <c r="B18" s="11">
        <v>14</v>
      </c>
      <c r="C18" s="12" t="s">
        <v>47</v>
      </c>
      <c r="D18" s="20">
        <v>100</v>
      </c>
      <c r="E18" s="20" t="s">
        <v>342</v>
      </c>
      <c r="F18" s="11" t="s">
        <v>54</v>
      </c>
      <c r="G18" s="12" t="s">
        <v>59</v>
      </c>
      <c r="J18" s="12"/>
      <c r="P18" s="12"/>
      <c r="V18" s="12"/>
      <c r="W18" s="20" t="s">
        <v>250</v>
      </c>
      <c r="Y18" s="12" t="s">
        <v>58</v>
      </c>
      <c r="AB18" s="12"/>
    </row>
    <row r="19" spans="1:29" x14ac:dyDescent="0.2">
      <c r="A19" s="11" t="s">
        <v>224</v>
      </c>
      <c r="B19" s="11">
        <v>14</v>
      </c>
      <c r="C19" s="12" t="s">
        <v>47</v>
      </c>
      <c r="D19" s="20">
        <v>100</v>
      </c>
      <c r="E19" s="20" t="s">
        <v>343</v>
      </c>
      <c r="F19" s="11" t="s">
        <v>54</v>
      </c>
      <c r="G19" s="12" t="s">
        <v>59</v>
      </c>
      <c r="J19" s="12"/>
      <c r="P19" s="12"/>
      <c r="V19" s="12"/>
      <c r="Y19" s="12"/>
      <c r="AB19" s="12"/>
    </row>
    <row r="20" spans="1:29" x14ac:dyDescent="0.2">
      <c r="A20" s="11" t="s">
        <v>224</v>
      </c>
      <c r="B20" s="11">
        <v>15</v>
      </c>
      <c r="C20" s="12" t="s">
        <v>47</v>
      </c>
      <c r="D20" s="20">
        <v>80</v>
      </c>
      <c r="G20" s="12"/>
      <c r="H20" s="20" t="s">
        <v>243</v>
      </c>
      <c r="J20" s="12" t="s">
        <v>58</v>
      </c>
      <c r="P20" s="12"/>
      <c r="T20" s="20" t="s">
        <v>344</v>
      </c>
      <c r="V20" s="12" t="s">
        <v>58</v>
      </c>
      <c r="Y20" s="12"/>
      <c r="AB20" s="12"/>
    </row>
    <row r="21" spans="1:29" x14ac:dyDescent="0.2">
      <c r="A21" s="11" t="s">
        <v>224</v>
      </c>
      <c r="B21" s="11">
        <v>16</v>
      </c>
      <c r="C21" s="12" t="s">
        <v>47</v>
      </c>
      <c r="D21" s="20">
        <v>80</v>
      </c>
      <c r="E21" s="20" t="s">
        <v>345</v>
      </c>
      <c r="F21" s="11" t="s">
        <v>54</v>
      </c>
      <c r="G21" s="12" t="s">
        <v>59</v>
      </c>
      <c r="J21" s="12"/>
      <c r="P21" s="12"/>
      <c r="V21" s="12"/>
      <c r="W21" s="20" t="s">
        <v>252</v>
      </c>
      <c r="Y21" s="12" t="s">
        <v>58</v>
      </c>
      <c r="Z21" s="26" t="s">
        <v>262</v>
      </c>
      <c r="AB21" s="12" t="s">
        <v>58</v>
      </c>
      <c r="AC21" s="20" t="s">
        <v>347</v>
      </c>
    </row>
    <row r="22" spans="1:29" x14ac:dyDescent="0.2">
      <c r="A22" s="11" t="s">
        <v>224</v>
      </c>
      <c r="B22" s="11">
        <v>16</v>
      </c>
      <c r="C22" s="12" t="s">
        <v>47</v>
      </c>
      <c r="D22" s="20">
        <v>80</v>
      </c>
      <c r="E22" s="20" t="s">
        <v>346</v>
      </c>
      <c r="F22" s="11" t="s">
        <v>54</v>
      </c>
      <c r="G22" s="12" t="s">
        <v>59</v>
      </c>
      <c r="J22" s="12"/>
      <c r="P22" s="12"/>
      <c r="V22" s="12"/>
      <c r="Y22" s="12"/>
      <c r="AB22" s="12"/>
      <c r="AC22" s="20" t="s">
        <v>347</v>
      </c>
    </row>
    <row r="23" spans="1:29" x14ac:dyDescent="0.2">
      <c r="A23" s="11" t="s">
        <v>224</v>
      </c>
      <c r="B23" s="11">
        <v>17</v>
      </c>
      <c r="C23" s="12" t="s">
        <v>47</v>
      </c>
      <c r="D23" s="20">
        <v>60</v>
      </c>
      <c r="G23" s="12"/>
      <c r="H23" s="20" t="s">
        <v>245</v>
      </c>
      <c r="J23" s="12" t="s">
        <v>58</v>
      </c>
      <c r="P23" s="12"/>
      <c r="T23" s="20" t="s">
        <v>348</v>
      </c>
      <c r="V23" s="12" t="s">
        <v>58</v>
      </c>
      <c r="Y23" s="12"/>
      <c r="AB23" s="12"/>
    </row>
    <row r="24" spans="1:29" x14ac:dyDescent="0.2">
      <c r="A24" s="11" t="s">
        <v>224</v>
      </c>
      <c r="B24" s="11">
        <v>18</v>
      </c>
      <c r="C24" s="12" t="s">
        <v>47</v>
      </c>
      <c r="D24" s="20">
        <v>60</v>
      </c>
      <c r="E24" s="20" t="s">
        <v>349</v>
      </c>
      <c r="F24" s="11" t="s">
        <v>54</v>
      </c>
      <c r="G24" s="12" t="s">
        <v>59</v>
      </c>
      <c r="J24" s="12"/>
      <c r="P24" s="12"/>
      <c r="V24" s="12"/>
      <c r="W24" s="20" t="s">
        <v>255</v>
      </c>
      <c r="Y24" s="12" t="s">
        <v>58</v>
      </c>
      <c r="Z24" s="26" t="s">
        <v>256</v>
      </c>
      <c r="AB24" s="12" t="s">
        <v>58</v>
      </c>
    </row>
    <row r="25" spans="1:29" x14ac:dyDescent="0.2">
      <c r="A25" s="11" t="s">
        <v>224</v>
      </c>
      <c r="B25" s="11">
        <v>18</v>
      </c>
      <c r="C25" s="12" t="s">
        <v>47</v>
      </c>
      <c r="D25" s="20">
        <v>60</v>
      </c>
      <c r="E25" s="20" t="s">
        <v>350</v>
      </c>
      <c r="F25" s="11" t="s">
        <v>54</v>
      </c>
      <c r="G25" s="12" t="s">
        <v>59</v>
      </c>
      <c r="J25" s="12"/>
      <c r="P25" s="12"/>
      <c r="V25" s="12"/>
      <c r="Y25" s="12"/>
      <c r="AB25" s="12"/>
    </row>
    <row r="26" spans="1:29" x14ac:dyDescent="0.2">
      <c r="A26" s="11" t="s">
        <v>224</v>
      </c>
      <c r="B26" s="11">
        <v>19</v>
      </c>
      <c r="C26" s="12" t="s">
        <v>47</v>
      </c>
      <c r="D26" s="20">
        <v>40</v>
      </c>
      <c r="G26" s="12"/>
      <c r="H26" s="20" t="s">
        <v>249</v>
      </c>
      <c r="J26" s="12" t="s">
        <v>58</v>
      </c>
      <c r="P26" s="12"/>
      <c r="T26" s="20" t="s">
        <v>437</v>
      </c>
      <c r="V26" s="12" t="s">
        <v>58</v>
      </c>
      <c r="Y26" s="12"/>
      <c r="AB26" s="12"/>
    </row>
    <row r="27" spans="1:29" x14ac:dyDescent="0.2">
      <c r="A27" s="11" t="s">
        <v>224</v>
      </c>
      <c r="B27" s="11">
        <v>20</v>
      </c>
      <c r="C27" s="12" t="s">
        <v>47</v>
      </c>
      <c r="D27" s="20">
        <v>40</v>
      </c>
      <c r="G27" s="12"/>
      <c r="J27" s="12"/>
      <c r="P27" s="12"/>
      <c r="V27" s="12"/>
      <c r="Y27" s="12"/>
      <c r="Z27" s="26" t="s">
        <v>247</v>
      </c>
      <c r="AB27" s="12" t="s">
        <v>58</v>
      </c>
    </row>
    <row r="28" spans="1:29" x14ac:dyDescent="0.2">
      <c r="A28" s="11" t="s">
        <v>224</v>
      </c>
      <c r="B28" s="11">
        <v>21</v>
      </c>
      <c r="C28" s="12" t="s">
        <v>47</v>
      </c>
      <c r="D28" s="20">
        <v>20</v>
      </c>
      <c r="E28" s="20" t="s">
        <v>351</v>
      </c>
      <c r="F28" s="11" t="s">
        <v>54</v>
      </c>
      <c r="G28" s="12" t="s">
        <v>59</v>
      </c>
      <c r="J28" s="12"/>
      <c r="P28" s="12"/>
      <c r="V28" s="12"/>
      <c r="W28" s="20" t="s">
        <v>259</v>
      </c>
      <c r="Y28" s="12" t="s">
        <v>58</v>
      </c>
      <c r="AB28" s="12"/>
    </row>
    <row r="29" spans="1:29" x14ac:dyDescent="0.2">
      <c r="A29" s="11" t="s">
        <v>224</v>
      </c>
      <c r="B29" s="11">
        <v>21</v>
      </c>
      <c r="C29" s="12" t="s">
        <v>47</v>
      </c>
      <c r="D29" s="20">
        <v>20</v>
      </c>
      <c r="E29" s="20" t="s">
        <v>352</v>
      </c>
      <c r="F29" s="11" t="s">
        <v>54</v>
      </c>
      <c r="G29" s="12" t="s">
        <v>59</v>
      </c>
      <c r="J29" s="12"/>
      <c r="P29" s="12"/>
      <c r="V29" s="12"/>
      <c r="Y29" s="12"/>
      <c r="AB29" s="12"/>
    </row>
    <row r="30" spans="1:29" x14ac:dyDescent="0.2">
      <c r="A30" s="11" t="s">
        <v>224</v>
      </c>
      <c r="B30" s="11">
        <v>22</v>
      </c>
      <c r="C30" s="12" t="s">
        <v>47</v>
      </c>
      <c r="D30" s="20">
        <v>20</v>
      </c>
      <c r="G30" s="12"/>
      <c r="H30" s="20" t="s">
        <v>248</v>
      </c>
      <c r="J30" s="12" t="s">
        <v>58</v>
      </c>
      <c r="P30" s="12"/>
      <c r="T30" s="20" t="s">
        <v>438</v>
      </c>
      <c r="V30" s="12" t="s">
        <v>58</v>
      </c>
      <c r="Y30" s="12"/>
      <c r="Z30" s="26" t="s">
        <v>353</v>
      </c>
      <c r="AB30" s="12" t="s">
        <v>58</v>
      </c>
    </row>
    <row r="31" spans="1:29" x14ac:dyDescent="0.2">
      <c r="A31" s="11" t="s">
        <v>224</v>
      </c>
      <c r="B31" s="11">
        <v>23</v>
      </c>
      <c r="C31" s="12" t="s">
        <v>47</v>
      </c>
      <c r="D31" s="20">
        <v>10</v>
      </c>
      <c r="E31" s="20" t="s">
        <v>354</v>
      </c>
      <c r="F31" s="11" t="s">
        <v>54</v>
      </c>
      <c r="G31" s="12" t="s">
        <v>59</v>
      </c>
      <c r="J31" s="12"/>
      <c r="P31" s="12"/>
      <c r="V31" s="12"/>
      <c r="W31" s="20" t="s">
        <v>265</v>
      </c>
      <c r="Y31" s="12" t="s">
        <v>58</v>
      </c>
      <c r="AB31" s="12"/>
    </row>
    <row r="32" spans="1:29" x14ac:dyDescent="0.2">
      <c r="A32" s="11" t="s">
        <v>224</v>
      </c>
      <c r="B32" s="11">
        <v>23</v>
      </c>
      <c r="C32" s="12" t="s">
        <v>47</v>
      </c>
      <c r="D32" s="20">
        <v>10</v>
      </c>
      <c r="E32" s="20" t="s">
        <v>355</v>
      </c>
      <c r="F32" s="11" t="s">
        <v>54</v>
      </c>
      <c r="G32" s="12" t="s">
        <v>59</v>
      </c>
      <c r="J32" s="12"/>
      <c r="P32" s="12"/>
      <c r="V32" s="12"/>
      <c r="Y32" s="12"/>
      <c r="AB32" s="12"/>
    </row>
    <row r="33" spans="1:28" x14ac:dyDescent="0.2">
      <c r="A33" s="11" t="s">
        <v>224</v>
      </c>
      <c r="B33" s="11">
        <v>24</v>
      </c>
      <c r="C33" s="12" t="s">
        <v>47</v>
      </c>
      <c r="D33" s="20">
        <v>10</v>
      </c>
      <c r="G33" s="12"/>
      <c r="H33" s="20" t="s">
        <v>251</v>
      </c>
      <c r="J33" s="12" t="s">
        <v>58</v>
      </c>
      <c r="P33" s="12"/>
      <c r="T33" s="20" t="s">
        <v>356</v>
      </c>
      <c r="V33" s="12" t="s">
        <v>58</v>
      </c>
      <c r="Y33" s="12"/>
      <c r="Z33" s="26" t="s">
        <v>270</v>
      </c>
      <c r="AB33" s="12" t="s">
        <v>58</v>
      </c>
    </row>
    <row r="34" spans="1:28" x14ac:dyDescent="0.2">
      <c r="A34" s="11" t="s">
        <v>225</v>
      </c>
      <c r="B34" s="11">
        <v>1</v>
      </c>
      <c r="C34" s="12" t="s">
        <v>47</v>
      </c>
      <c r="D34" s="20">
        <v>590</v>
      </c>
      <c r="G34" s="12"/>
      <c r="J34" s="12"/>
      <c r="P34" s="12"/>
      <c r="V34" s="12"/>
      <c r="Y34" s="12"/>
      <c r="Z34" s="26" t="s">
        <v>266</v>
      </c>
      <c r="AB34" s="12" t="s">
        <v>58</v>
      </c>
    </row>
    <row r="35" spans="1:28" x14ac:dyDescent="0.2">
      <c r="A35" s="11" t="s">
        <v>225</v>
      </c>
      <c r="B35" s="11">
        <v>2</v>
      </c>
      <c r="C35" s="12" t="s">
        <v>47</v>
      </c>
      <c r="D35" s="20">
        <v>590</v>
      </c>
      <c r="E35" s="20" t="s">
        <v>357</v>
      </c>
      <c r="F35" s="11" t="s">
        <v>54</v>
      </c>
      <c r="G35" s="12" t="s">
        <v>59</v>
      </c>
      <c r="J35" s="12"/>
      <c r="P35" s="12"/>
      <c r="V35" s="12"/>
      <c r="W35" s="20" t="s">
        <v>269</v>
      </c>
      <c r="Y35" s="12" t="s">
        <v>58</v>
      </c>
      <c r="AB35" s="12"/>
    </row>
    <row r="36" spans="1:28" x14ac:dyDescent="0.2">
      <c r="A36" s="11" t="s">
        <v>225</v>
      </c>
      <c r="B36" s="11">
        <v>2</v>
      </c>
      <c r="C36" s="12" t="s">
        <v>47</v>
      </c>
      <c r="D36" s="20">
        <v>590</v>
      </c>
      <c r="E36" s="20" t="s">
        <v>358</v>
      </c>
      <c r="F36" s="11" t="s">
        <v>54</v>
      </c>
      <c r="G36" s="12" t="s">
        <v>59</v>
      </c>
      <c r="J36" s="12"/>
      <c r="P36" s="12"/>
      <c r="V36" s="12"/>
      <c r="Y36" s="12"/>
      <c r="AB36" s="12"/>
    </row>
    <row r="37" spans="1:28" x14ac:dyDescent="0.2">
      <c r="A37" s="11" t="s">
        <v>225</v>
      </c>
      <c r="B37" s="11">
        <v>4</v>
      </c>
      <c r="C37" s="12" t="s">
        <v>47</v>
      </c>
      <c r="D37" s="20">
        <v>550</v>
      </c>
      <c r="E37" s="20" t="s">
        <v>359</v>
      </c>
      <c r="F37" s="11" t="s">
        <v>54</v>
      </c>
      <c r="G37" s="12" t="s">
        <v>59</v>
      </c>
      <c r="J37" s="12"/>
      <c r="P37" s="12"/>
      <c r="V37" s="12"/>
      <c r="Y37" s="12"/>
      <c r="AB37" s="12"/>
    </row>
    <row r="38" spans="1:28" x14ac:dyDescent="0.2">
      <c r="A38" s="11" t="s">
        <v>225</v>
      </c>
      <c r="B38" s="11">
        <v>4</v>
      </c>
      <c r="C38" s="12" t="s">
        <v>47</v>
      </c>
      <c r="D38" s="20">
        <v>550</v>
      </c>
      <c r="E38" s="20" t="s">
        <v>360</v>
      </c>
      <c r="F38" s="11" t="s">
        <v>54</v>
      </c>
      <c r="G38" s="12" t="s">
        <v>59</v>
      </c>
      <c r="J38" s="12"/>
      <c r="P38" s="12"/>
      <c r="V38" s="12"/>
      <c r="Y38" s="12"/>
      <c r="AB38" s="12"/>
    </row>
    <row r="39" spans="1:28" x14ac:dyDescent="0.2">
      <c r="A39" s="11" t="s">
        <v>225</v>
      </c>
      <c r="B39" s="11">
        <v>6</v>
      </c>
      <c r="C39" s="12" t="s">
        <v>47</v>
      </c>
      <c r="D39" s="20">
        <v>500</v>
      </c>
      <c r="E39" s="20" t="s">
        <v>361</v>
      </c>
      <c r="F39" s="11" t="s">
        <v>54</v>
      </c>
      <c r="G39" s="12" t="s">
        <v>59</v>
      </c>
      <c r="J39" s="12"/>
      <c r="P39" s="12"/>
      <c r="V39" s="12"/>
      <c r="W39" s="20" t="s">
        <v>274</v>
      </c>
      <c r="Y39" s="12" t="s">
        <v>58</v>
      </c>
      <c r="AB39" s="12"/>
    </row>
    <row r="40" spans="1:28" x14ac:dyDescent="0.2">
      <c r="A40" s="11" t="s">
        <v>225</v>
      </c>
      <c r="B40" s="11">
        <v>6</v>
      </c>
      <c r="C40" s="12" t="s">
        <v>47</v>
      </c>
      <c r="D40" s="20">
        <v>500</v>
      </c>
      <c r="E40" s="20" t="s">
        <v>362</v>
      </c>
      <c r="F40" s="11" t="s">
        <v>54</v>
      </c>
      <c r="G40" s="12" t="s">
        <v>59</v>
      </c>
      <c r="J40" s="12"/>
      <c r="P40" s="12"/>
      <c r="V40" s="12"/>
      <c r="Y40" s="12"/>
      <c r="AB40" s="12"/>
    </row>
    <row r="41" spans="1:28" x14ac:dyDescent="0.2">
      <c r="A41" s="11" t="s">
        <v>225</v>
      </c>
      <c r="B41" s="11">
        <v>7</v>
      </c>
      <c r="C41" s="12" t="s">
        <v>47</v>
      </c>
      <c r="D41" s="20">
        <v>400</v>
      </c>
      <c r="G41" s="12"/>
      <c r="J41" s="12"/>
      <c r="P41" s="12"/>
      <c r="V41" s="12"/>
      <c r="Y41" s="12"/>
      <c r="Z41" s="26" t="s">
        <v>276</v>
      </c>
      <c r="AB41" s="12" t="s">
        <v>58</v>
      </c>
    </row>
    <row r="42" spans="1:28" x14ac:dyDescent="0.2">
      <c r="A42" s="11" t="s">
        <v>225</v>
      </c>
      <c r="B42" s="11">
        <v>8</v>
      </c>
      <c r="C42" s="12" t="s">
        <v>47</v>
      </c>
      <c r="D42" s="20">
        <v>400</v>
      </c>
      <c r="E42" s="20" t="s">
        <v>363</v>
      </c>
      <c r="F42" s="11" t="s">
        <v>54</v>
      </c>
      <c r="G42" s="12" t="s">
        <v>59</v>
      </c>
      <c r="J42" s="12"/>
      <c r="P42" s="12"/>
      <c r="V42" s="12"/>
      <c r="W42" s="20" t="s">
        <v>365</v>
      </c>
      <c r="Y42" s="12" t="s">
        <v>58</v>
      </c>
      <c r="AB42" s="12"/>
    </row>
    <row r="43" spans="1:28" x14ac:dyDescent="0.2">
      <c r="A43" s="11" t="s">
        <v>225</v>
      </c>
      <c r="B43" s="11">
        <v>8</v>
      </c>
      <c r="C43" s="12" t="s">
        <v>47</v>
      </c>
      <c r="D43" s="20">
        <v>400</v>
      </c>
      <c r="E43" s="20" t="s">
        <v>364</v>
      </c>
      <c r="F43" s="11" t="s">
        <v>54</v>
      </c>
      <c r="G43" s="12" t="s">
        <v>59</v>
      </c>
      <c r="J43" s="12"/>
      <c r="P43" s="12"/>
      <c r="V43" s="12"/>
      <c r="Y43" s="12"/>
      <c r="AB43" s="12"/>
    </row>
    <row r="44" spans="1:28" x14ac:dyDescent="0.2">
      <c r="A44" s="11" t="s">
        <v>225</v>
      </c>
      <c r="B44" s="11">
        <v>10</v>
      </c>
      <c r="C44" s="12" t="s">
        <v>47</v>
      </c>
      <c r="D44" s="20">
        <v>300</v>
      </c>
      <c r="E44" s="20" t="s">
        <v>366</v>
      </c>
      <c r="F44" s="11" t="s">
        <v>54</v>
      </c>
      <c r="G44" s="12" t="s">
        <v>59</v>
      </c>
      <c r="J44" s="12"/>
      <c r="P44" s="12"/>
      <c r="V44" s="12"/>
      <c r="W44" s="20" t="s">
        <v>284</v>
      </c>
      <c r="Y44" s="12" t="s">
        <v>58</v>
      </c>
      <c r="AB44" s="12"/>
    </row>
    <row r="45" spans="1:28" x14ac:dyDescent="0.2">
      <c r="A45" s="11" t="s">
        <v>225</v>
      </c>
      <c r="B45" s="11">
        <v>10</v>
      </c>
      <c r="C45" s="12" t="s">
        <v>47</v>
      </c>
      <c r="D45" s="20">
        <v>300</v>
      </c>
      <c r="E45" s="20" t="s">
        <v>367</v>
      </c>
      <c r="F45" s="11" t="s">
        <v>54</v>
      </c>
      <c r="G45" s="12" t="s">
        <v>59</v>
      </c>
      <c r="J45" s="12"/>
      <c r="P45" s="12"/>
      <c r="V45" s="12"/>
      <c r="Y45" s="12"/>
      <c r="AB45" s="12"/>
    </row>
    <row r="46" spans="1:28" x14ac:dyDescent="0.2">
      <c r="A46" s="11" t="s">
        <v>225</v>
      </c>
      <c r="B46" s="11">
        <v>13</v>
      </c>
      <c r="C46" s="12" t="s">
        <v>47</v>
      </c>
      <c r="D46" s="20">
        <v>200</v>
      </c>
      <c r="E46" s="20" t="s">
        <v>368</v>
      </c>
      <c r="F46" s="11" t="s">
        <v>54</v>
      </c>
      <c r="G46" s="12" t="s">
        <v>59</v>
      </c>
      <c r="J46" s="12"/>
      <c r="P46" s="12"/>
      <c r="V46" s="12"/>
      <c r="W46" s="20" t="s">
        <v>283</v>
      </c>
      <c r="Y46" s="12" t="s">
        <v>58</v>
      </c>
      <c r="AB46" s="12"/>
    </row>
    <row r="47" spans="1:28" x14ac:dyDescent="0.2">
      <c r="A47" s="11" t="s">
        <v>225</v>
      </c>
      <c r="B47" s="11">
        <v>13</v>
      </c>
      <c r="C47" s="12" t="s">
        <v>47</v>
      </c>
      <c r="D47" s="20">
        <v>200</v>
      </c>
      <c r="E47" s="20" t="s">
        <v>369</v>
      </c>
      <c r="F47" s="11" t="s">
        <v>54</v>
      </c>
      <c r="G47" s="12" t="s">
        <v>59</v>
      </c>
      <c r="J47" s="12"/>
      <c r="P47" s="12"/>
      <c r="V47" s="12"/>
      <c r="Y47" s="12"/>
      <c r="AB47" s="12"/>
    </row>
    <row r="48" spans="1:28" x14ac:dyDescent="0.2">
      <c r="A48" s="11" t="s">
        <v>225</v>
      </c>
      <c r="B48" s="11">
        <v>14</v>
      </c>
      <c r="C48" s="12" t="s">
        <v>47</v>
      </c>
      <c r="D48" s="20">
        <v>200</v>
      </c>
      <c r="G48" s="12"/>
      <c r="J48" s="12"/>
      <c r="P48" s="12"/>
      <c r="V48" s="12"/>
      <c r="Y48" s="12"/>
      <c r="Z48" s="26" t="s">
        <v>288</v>
      </c>
      <c r="AB48" s="12" t="s">
        <v>58</v>
      </c>
    </row>
    <row r="49" spans="1:29" x14ac:dyDescent="0.2">
      <c r="A49" s="11" t="s">
        <v>225</v>
      </c>
      <c r="B49" s="11">
        <v>16</v>
      </c>
      <c r="C49" s="12" t="s">
        <v>47</v>
      </c>
      <c r="D49" s="20">
        <v>150</v>
      </c>
      <c r="G49" s="12"/>
      <c r="J49" s="12"/>
      <c r="P49" s="12"/>
      <c r="V49" s="12"/>
      <c r="Y49" s="12"/>
      <c r="Z49" s="26" t="s">
        <v>316</v>
      </c>
      <c r="AB49" s="12" t="s">
        <v>58</v>
      </c>
    </row>
    <row r="50" spans="1:29" x14ac:dyDescent="0.2">
      <c r="A50" s="11" t="s">
        <v>225</v>
      </c>
      <c r="B50" s="11">
        <v>17</v>
      </c>
      <c r="C50" s="12" t="s">
        <v>47</v>
      </c>
      <c r="D50" s="20">
        <v>100</v>
      </c>
      <c r="E50" s="20" t="s">
        <v>370</v>
      </c>
      <c r="F50" s="11" t="s">
        <v>480</v>
      </c>
      <c r="G50" s="12" t="s">
        <v>59</v>
      </c>
      <c r="J50" s="12"/>
      <c r="V50" s="12"/>
      <c r="W50" s="20" t="s">
        <v>282</v>
      </c>
      <c r="Y50" s="12" t="s">
        <v>58</v>
      </c>
      <c r="AB50" s="12"/>
      <c r="AC50" s="20" t="s">
        <v>372</v>
      </c>
    </row>
    <row r="51" spans="1:29" x14ac:dyDescent="0.2">
      <c r="A51" s="11" t="s">
        <v>225</v>
      </c>
      <c r="B51" s="11">
        <v>17</v>
      </c>
      <c r="C51" s="12" t="s">
        <v>47</v>
      </c>
      <c r="D51" s="20">
        <v>100</v>
      </c>
      <c r="E51" s="20" t="s">
        <v>371</v>
      </c>
      <c r="F51" s="11" t="s">
        <v>54</v>
      </c>
      <c r="G51" s="12" t="s">
        <v>59</v>
      </c>
      <c r="J51" s="12"/>
      <c r="V51" s="12"/>
      <c r="Y51" s="12"/>
      <c r="AB51" s="12"/>
    </row>
    <row r="52" spans="1:29" x14ac:dyDescent="0.2">
      <c r="A52" s="11" t="s">
        <v>225</v>
      </c>
      <c r="B52" s="11">
        <v>18</v>
      </c>
      <c r="C52" s="12" t="s">
        <v>47</v>
      </c>
      <c r="D52" s="20">
        <v>100</v>
      </c>
      <c r="G52" s="12"/>
      <c r="J52" s="12"/>
      <c r="V52" s="12"/>
      <c r="Y52" s="12"/>
      <c r="Z52" s="26" t="s">
        <v>272</v>
      </c>
      <c r="AB52" s="12" t="s">
        <v>58</v>
      </c>
    </row>
    <row r="53" spans="1:29" x14ac:dyDescent="0.2">
      <c r="A53" s="11" t="s">
        <v>225</v>
      </c>
      <c r="B53" s="11">
        <v>20</v>
      </c>
      <c r="C53" s="12" t="s">
        <v>47</v>
      </c>
      <c r="D53" s="20">
        <v>50</v>
      </c>
      <c r="E53" s="20" t="s">
        <v>373</v>
      </c>
      <c r="F53" s="11" t="s">
        <v>54</v>
      </c>
      <c r="G53" s="12" t="s">
        <v>59</v>
      </c>
      <c r="J53" s="12"/>
      <c r="V53" s="12"/>
      <c r="W53" s="20" t="s">
        <v>281</v>
      </c>
      <c r="Y53" s="12" t="s">
        <v>58</v>
      </c>
      <c r="Z53" s="26" t="s">
        <v>253</v>
      </c>
      <c r="AB53" s="12" t="s">
        <v>58</v>
      </c>
    </row>
    <row r="54" spans="1:29" x14ac:dyDescent="0.2">
      <c r="A54" s="11" t="s">
        <v>225</v>
      </c>
      <c r="B54" s="11">
        <v>20</v>
      </c>
      <c r="C54" s="12" t="s">
        <v>47</v>
      </c>
      <c r="D54" s="20">
        <v>50</v>
      </c>
      <c r="E54" s="20" t="s">
        <v>374</v>
      </c>
      <c r="F54" s="11" t="s">
        <v>54</v>
      </c>
      <c r="G54" s="12" t="s">
        <v>59</v>
      </c>
      <c r="J54" s="12"/>
      <c r="V54" s="12"/>
      <c r="Y54" s="12"/>
      <c r="AB54" s="12"/>
    </row>
    <row r="55" spans="1:29" x14ac:dyDescent="0.2">
      <c r="A55" s="11" t="s">
        <v>225</v>
      </c>
      <c r="B55" s="11">
        <v>22</v>
      </c>
      <c r="C55" s="12" t="s">
        <v>47</v>
      </c>
      <c r="D55" s="20">
        <v>20</v>
      </c>
      <c r="G55" s="12"/>
      <c r="J55" s="12"/>
      <c r="V55" s="12"/>
      <c r="Y55" s="12"/>
      <c r="Z55" s="26" t="s">
        <v>375</v>
      </c>
      <c r="AB55" s="12" t="s">
        <v>58</v>
      </c>
    </row>
    <row r="56" spans="1:29" x14ac:dyDescent="0.2">
      <c r="A56" s="11" t="s">
        <v>225</v>
      </c>
      <c r="B56" s="11">
        <v>23</v>
      </c>
      <c r="C56" s="12" t="s">
        <v>47</v>
      </c>
      <c r="D56" s="20">
        <v>10</v>
      </c>
      <c r="E56" s="20" t="s">
        <v>376</v>
      </c>
      <c r="F56" s="11" t="s">
        <v>54</v>
      </c>
      <c r="G56" s="12" t="s">
        <v>59</v>
      </c>
      <c r="J56" s="12"/>
      <c r="V56" s="12"/>
      <c r="W56" s="20" t="s">
        <v>280</v>
      </c>
      <c r="Y56" s="12" t="s">
        <v>58</v>
      </c>
      <c r="AB56" s="12"/>
    </row>
    <row r="57" spans="1:29" x14ac:dyDescent="0.2">
      <c r="A57" s="11" t="s">
        <v>225</v>
      </c>
      <c r="B57" s="11">
        <v>23</v>
      </c>
      <c r="C57" s="12" t="s">
        <v>47</v>
      </c>
      <c r="D57" s="20">
        <v>10</v>
      </c>
      <c r="E57" s="20" t="s">
        <v>377</v>
      </c>
      <c r="F57" s="11" t="s">
        <v>54</v>
      </c>
      <c r="G57" s="12" t="s">
        <v>59</v>
      </c>
      <c r="J57" s="12"/>
      <c r="V57" s="12"/>
      <c r="Y57" s="12"/>
      <c r="AB57" s="12"/>
    </row>
    <row r="58" spans="1:29" x14ac:dyDescent="0.2">
      <c r="A58" s="11" t="s">
        <v>225</v>
      </c>
      <c r="B58" s="11">
        <v>24</v>
      </c>
      <c r="C58" s="12" t="s">
        <v>47</v>
      </c>
      <c r="D58" s="20">
        <v>10</v>
      </c>
      <c r="G58" s="12"/>
      <c r="J58" s="12"/>
      <c r="V58" s="12"/>
      <c r="Y58" s="12"/>
      <c r="Z58" s="26" t="s">
        <v>244</v>
      </c>
      <c r="AB58" s="12" t="s">
        <v>58</v>
      </c>
    </row>
    <row r="59" spans="1:29" x14ac:dyDescent="0.2">
      <c r="A59" s="11" t="s">
        <v>321</v>
      </c>
      <c r="B59" s="11" t="s">
        <v>94</v>
      </c>
      <c r="C59" s="12" t="s">
        <v>47</v>
      </c>
      <c r="D59" s="20">
        <v>600</v>
      </c>
      <c r="E59" s="20" t="s">
        <v>378</v>
      </c>
      <c r="F59" s="11" t="s">
        <v>54</v>
      </c>
      <c r="G59" s="12" t="s">
        <v>59</v>
      </c>
      <c r="H59" s="20" t="s">
        <v>254</v>
      </c>
      <c r="J59" s="12" t="s">
        <v>58</v>
      </c>
      <c r="V59" s="12"/>
      <c r="W59" s="20" t="s">
        <v>278</v>
      </c>
      <c r="Y59" s="12" t="s">
        <v>58</v>
      </c>
      <c r="Z59" s="26" t="s">
        <v>242</v>
      </c>
      <c r="AB59" s="12" t="s">
        <v>58</v>
      </c>
    </row>
    <row r="60" spans="1:29" x14ac:dyDescent="0.2">
      <c r="A60" s="11" t="s">
        <v>321</v>
      </c>
      <c r="B60" s="11" t="s">
        <v>94</v>
      </c>
      <c r="C60" s="12" t="s">
        <v>47</v>
      </c>
      <c r="D60" s="20">
        <v>600</v>
      </c>
      <c r="E60" s="20" t="s">
        <v>379</v>
      </c>
      <c r="F60" s="11" t="s">
        <v>54</v>
      </c>
      <c r="G60" s="12" t="s">
        <v>59</v>
      </c>
      <c r="J60" s="12"/>
      <c r="V60" s="12"/>
      <c r="Y60" s="12"/>
      <c r="AB60" s="12"/>
    </row>
    <row r="61" spans="1:29" x14ac:dyDescent="0.2">
      <c r="A61" s="11" t="s">
        <v>322</v>
      </c>
      <c r="B61" s="11" t="s">
        <v>94</v>
      </c>
      <c r="C61" s="12" t="s">
        <v>47</v>
      </c>
      <c r="D61" s="20">
        <v>2900</v>
      </c>
      <c r="G61" s="12"/>
      <c r="J61" s="12"/>
      <c r="V61" s="12"/>
      <c r="W61" s="20" t="s">
        <v>380</v>
      </c>
      <c r="Y61" s="12" t="s">
        <v>58</v>
      </c>
      <c r="AB61" s="12"/>
    </row>
    <row r="62" spans="1:29" x14ac:dyDescent="0.2">
      <c r="A62" s="11" t="s">
        <v>322</v>
      </c>
      <c r="B62" s="11" t="s">
        <v>93</v>
      </c>
      <c r="C62" s="12" t="s">
        <v>47</v>
      </c>
      <c r="D62" s="20">
        <v>2900</v>
      </c>
      <c r="E62" s="20" t="s">
        <v>330</v>
      </c>
      <c r="F62" s="11" t="s">
        <v>54</v>
      </c>
      <c r="G62" s="12" t="s">
        <v>59</v>
      </c>
      <c r="H62" s="20" t="s">
        <v>257</v>
      </c>
      <c r="J62" s="12" t="s">
        <v>58</v>
      </c>
      <c r="V62" s="12"/>
      <c r="Y62" s="12"/>
      <c r="Z62" s="26" t="s">
        <v>247</v>
      </c>
      <c r="AB62" s="12" t="s">
        <v>58</v>
      </c>
    </row>
    <row r="63" spans="1:29" x14ac:dyDescent="0.2">
      <c r="A63" s="11" t="s">
        <v>322</v>
      </c>
      <c r="B63" s="11" t="s">
        <v>93</v>
      </c>
      <c r="C63" s="12" t="s">
        <v>47</v>
      </c>
      <c r="D63" s="20">
        <v>2900</v>
      </c>
      <c r="E63" s="20" t="s">
        <v>331</v>
      </c>
      <c r="F63" s="11" t="s">
        <v>54</v>
      </c>
      <c r="G63" s="12" t="s">
        <v>59</v>
      </c>
      <c r="J63" s="12"/>
      <c r="V63" s="12"/>
      <c r="Y63" s="12"/>
      <c r="AB63" s="12"/>
    </row>
    <row r="64" spans="1:29" x14ac:dyDescent="0.2">
      <c r="A64" s="11" t="s">
        <v>226</v>
      </c>
      <c r="B64" s="11">
        <v>1</v>
      </c>
      <c r="C64" s="12" t="s">
        <v>47</v>
      </c>
      <c r="D64" s="36">
        <v>220</v>
      </c>
      <c r="E64" s="36"/>
      <c r="G64" s="31"/>
      <c r="H64" s="36" t="s">
        <v>258</v>
      </c>
      <c r="I64" s="30"/>
      <c r="J64" s="12" t="s">
        <v>58</v>
      </c>
      <c r="K64" s="30"/>
      <c r="L64" s="30"/>
      <c r="M64" s="30"/>
      <c r="N64" s="30"/>
      <c r="O64" s="30"/>
      <c r="P64" s="30"/>
      <c r="Q64" s="30"/>
      <c r="R64" s="30"/>
      <c r="S64" s="30"/>
      <c r="T64" s="36" t="s">
        <v>382</v>
      </c>
      <c r="U64" s="30"/>
      <c r="V64" s="31" t="s">
        <v>58</v>
      </c>
      <c r="W64" s="36"/>
      <c r="X64" s="30"/>
      <c r="Y64" s="31"/>
      <c r="Z64" s="37"/>
      <c r="AA64" s="30"/>
      <c r="AB64" s="12"/>
      <c r="AC64" s="36"/>
    </row>
    <row r="65" spans="1:29" x14ac:dyDescent="0.2">
      <c r="A65" s="11" t="s">
        <v>226</v>
      </c>
      <c r="B65" s="11">
        <v>2</v>
      </c>
      <c r="C65" s="12" t="s">
        <v>47</v>
      </c>
      <c r="D65" s="36">
        <v>220</v>
      </c>
      <c r="E65" s="36"/>
      <c r="G65" s="31"/>
      <c r="H65" s="36"/>
      <c r="I65" s="30"/>
      <c r="J65" s="12"/>
      <c r="K65" s="30"/>
      <c r="L65" s="30"/>
      <c r="M65" s="30"/>
      <c r="N65" s="30"/>
      <c r="O65" s="30"/>
      <c r="P65" s="30"/>
      <c r="Q65" s="30"/>
      <c r="R65" s="30"/>
      <c r="S65" s="30"/>
      <c r="T65" s="36"/>
      <c r="U65" s="30"/>
      <c r="V65" s="31"/>
      <c r="W65" s="36"/>
      <c r="X65" s="30"/>
      <c r="Y65" s="31"/>
      <c r="Z65" s="37" t="s">
        <v>242</v>
      </c>
      <c r="AA65" s="30"/>
      <c r="AB65" s="12" t="s">
        <v>58</v>
      </c>
      <c r="AC65" s="38"/>
    </row>
    <row r="66" spans="1:29" x14ac:dyDescent="0.2">
      <c r="A66" s="11" t="s">
        <v>226</v>
      </c>
      <c r="B66" s="11">
        <v>3</v>
      </c>
      <c r="C66" s="12" t="s">
        <v>47</v>
      </c>
      <c r="D66" s="36">
        <v>200</v>
      </c>
      <c r="E66" s="36" t="s">
        <v>328</v>
      </c>
      <c r="F66" s="11" t="s">
        <v>54</v>
      </c>
      <c r="G66" s="31" t="s">
        <v>59</v>
      </c>
      <c r="H66" s="36" t="s">
        <v>260</v>
      </c>
      <c r="I66" s="30"/>
      <c r="J66" s="12" t="s">
        <v>58</v>
      </c>
      <c r="K66" s="30"/>
      <c r="L66" s="30"/>
      <c r="M66" s="30"/>
      <c r="N66" s="30"/>
      <c r="O66" s="30"/>
      <c r="P66" s="30"/>
      <c r="Q66" s="30"/>
      <c r="R66" s="30"/>
      <c r="S66" s="30"/>
      <c r="T66" s="36" t="s">
        <v>383</v>
      </c>
      <c r="U66" s="30"/>
      <c r="V66" s="31" t="s">
        <v>58</v>
      </c>
      <c r="W66" s="36" t="s">
        <v>285</v>
      </c>
      <c r="X66" s="30"/>
      <c r="Y66" s="31" t="s">
        <v>58</v>
      </c>
      <c r="Z66" s="37"/>
      <c r="AA66" s="30"/>
      <c r="AB66" s="31"/>
      <c r="AC66" s="38"/>
    </row>
    <row r="67" spans="1:29" x14ac:dyDescent="0.2">
      <c r="A67" s="11" t="s">
        <v>226</v>
      </c>
      <c r="B67" s="11">
        <v>3</v>
      </c>
      <c r="C67" s="12" t="s">
        <v>47</v>
      </c>
      <c r="D67" s="36">
        <v>200</v>
      </c>
      <c r="E67" s="36" t="s">
        <v>346</v>
      </c>
      <c r="F67" s="11" t="s">
        <v>54</v>
      </c>
      <c r="G67" s="31" t="s">
        <v>59</v>
      </c>
      <c r="H67" s="36"/>
      <c r="I67" s="30"/>
      <c r="J67" s="12"/>
      <c r="K67" s="30"/>
      <c r="L67" s="30"/>
      <c r="M67" s="30"/>
      <c r="N67" s="30"/>
      <c r="O67" s="30"/>
      <c r="P67" s="30"/>
      <c r="Q67" s="30"/>
      <c r="R67" s="30"/>
      <c r="S67" s="30"/>
      <c r="T67" s="36"/>
      <c r="U67" s="30"/>
      <c r="V67" s="31"/>
      <c r="W67" s="36"/>
      <c r="X67" s="30"/>
      <c r="Y67" s="31"/>
      <c r="Z67" s="37"/>
      <c r="AA67" s="30"/>
      <c r="AB67" s="31"/>
      <c r="AC67" s="38"/>
    </row>
    <row r="68" spans="1:29" x14ac:dyDescent="0.2">
      <c r="A68" s="11" t="s">
        <v>226</v>
      </c>
      <c r="B68" s="11">
        <v>5</v>
      </c>
      <c r="C68" s="12" t="s">
        <v>47</v>
      </c>
      <c r="D68" s="36">
        <v>180</v>
      </c>
      <c r="E68" s="36"/>
      <c r="G68" s="31"/>
      <c r="H68" s="36" t="s">
        <v>261</v>
      </c>
      <c r="I68" s="30"/>
      <c r="J68" s="12" t="s">
        <v>58</v>
      </c>
      <c r="K68" s="30"/>
      <c r="L68" s="30"/>
      <c r="M68" s="30"/>
      <c r="N68" s="30"/>
      <c r="O68" s="30"/>
      <c r="P68" s="30"/>
      <c r="Q68" s="30"/>
      <c r="R68" s="30"/>
      <c r="S68" s="30"/>
      <c r="T68" s="36" t="s">
        <v>384</v>
      </c>
      <c r="U68" s="30"/>
      <c r="V68" s="31" t="s">
        <v>58</v>
      </c>
      <c r="W68" s="36"/>
      <c r="X68" s="30"/>
      <c r="Y68" s="31"/>
      <c r="Z68" s="39"/>
      <c r="AA68" s="30"/>
      <c r="AB68" s="31"/>
      <c r="AC68" s="36"/>
    </row>
    <row r="69" spans="1:29" x14ac:dyDescent="0.2">
      <c r="A69" s="11" t="s">
        <v>226</v>
      </c>
      <c r="B69" s="11">
        <v>6</v>
      </c>
      <c r="C69" s="12" t="s">
        <v>47</v>
      </c>
      <c r="D69" s="36">
        <v>180</v>
      </c>
      <c r="E69" s="36"/>
      <c r="G69" s="31"/>
      <c r="H69" s="36"/>
      <c r="I69" s="30"/>
      <c r="J69" s="12"/>
      <c r="K69" s="30"/>
      <c r="L69" s="30"/>
      <c r="M69" s="30"/>
      <c r="N69" s="30"/>
      <c r="O69" s="30"/>
      <c r="P69" s="30"/>
      <c r="Q69" s="30"/>
      <c r="R69" s="30"/>
      <c r="S69" s="30"/>
      <c r="T69" s="36"/>
      <c r="U69" s="30"/>
      <c r="V69" s="31"/>
      <c r="W69" s="36"/>
      <c r="X69" s="30"/>
      <c r="Y69" s="31"/>
      <c r="Z69" s="39" t="s">
        <v>266</v>
      </c>
      <c r="AA69" s="30"/>
      <c r="AB69" s="31" t="s">
        <v>58</v>
      </c>
      <c r="AC69" s="36"/>
    </row>
    <row r="70" spans="1:29" x14ac:dyDescent="0.2">
      <c r="A70" s="11" t="s">
        <v>226</v>
      </c>
      <c r="B70" s="11">
        <v>7</v>
      </c>
      <c r="C70" s="12" t="s">
        <v>47</v>
      </c>
      <c r="D70" s="36">
        <v>160</v>
      </c>
      <c r="E70" s="36" t="s">
        <v>329</v>
      </c>
      <c r="F70" s="11" t="s">
        <v>54</v>
      </c>
      <c r="G70" s="31" t="s">
        <v>59</v>
      </c>
      <c r="H70" s="36" t="s">
        <v>263</v>
      </c>
      <c r="I70" s="30"/>
      <c r="J70" s="12" t="s">
        <v>58</v>
      </c>
      <c r="K70" s="30"/>
      <c r="L70" s="30"/>
      <c r="M70" s="30"/>
      <c r="N70" s="30"/>
      <c r="O70" s="30"/>
      <c r="P70" s="30"/>
      <c r="Q70" s="30"/>
      <c r="R70" s="30"/>
      <c r="S70" s="30"/>
      <c r="T70" s="36" t="s">
        <v>385</v>
      </c>
      <c r="U70" s="30"/>
      <c r="V70" s="31" t="s">
        <v>58</v>
      </c>
      <c r="W70" s="36" t="s">
        <v>286</v>
      </c>
      <c r="X70" s="30"/>
      <c r="Y70" s="31" t="s">
        <v>58</v>
      </c>
      <c r="Z70" s="37"/>
      <c r="AA70" s="30"/>
      <c r="AB70" s="31"/>
      <c r="AC70" s="36"/>
    </row>
    <row r="71" spans="1:29" x14ac:dyDescent="0.2">
      <c r="A71" s="11" t="s">
        <v>226</v>
      </c>
      <c r="B71" s="11">
        <v>7</v>
      </c>
      <c r="C71" s="12" t="s">
        <v>47</v>
      </c>
      <c r="D71" s="36">
        <v>160</v>
      </c>
      <c r="E71" s="36" t="s">
        <v>333</v>
      </c>
      <c r="F71" s="11" t="s">
        <v>54</v>
      </c>
      <c r="G71" s="31" t="s">
        <v>59</v>
      </c>
      <c r="H71" s="36"/>
      <c r="I71" s="30"/>
      <c r="J71" s="12"/>
      <c r="K71" s="30"/>
      <c r="L71" s="30"/>
      <c r="M71" s="30"/>
      <c r="N71" s="30"/>
      <c r="O71" s="30"/>
      <c r="P71" s="30"/>
      <c r="Q71" s="30"/>
      <c r="R71" s="30"/>
      <c r="S71" s="30"/>
      <c r="T71" s="36"/>
      <c r="U71" s="30"/>
      <c r="V71" s="31"/>
      <c r="W71" s="36"/>
      <c r="X71" s="30"/>
      <c r="Y71" s="31"/>
      <c r="Z71" s="37"/>
      <c r="AA71" s="30"/>
      <c r="AB71" s="31"/>
      <c r="AC71" s="36"/>
    </row>
    <row r="72" spans="1:29" x14ac:dyDescent="0.2">
      <c r="A72" s="11" t="s">
        <v>226</v>
      </c>
      <c r="B72" s="11">
        <v>9</v>
      </c>
      <c r="C72" s="12" t="s">
        <v>47</v>
      </c>
      <c r="D72" s="36">
        <v>140</v>
      </c>
      <c r="E72" s="36"/>
      <c r="G72" s="31"/>
      <c r="H72" s="36" t="s">
        <v>264</v>
      </c>
      <c r="I72" s="30"/>
      <c r="J72" s="12" t="s">
        <v>58</v>
      </c>
      <c r="K72" s="30"/>
      <c r="L72" s="30"/>
      <c r="M72" s="30"/>
      <c r="N72" s="30"/>
      <c r="O72" s="30"/>
      <c r="P72" s="30"/>
      <c r="Q72" s="30"/>
      <c r="R72" s="30"/>
      <c r="S72" s="30"/>
      <c r="T72" s="36" t="s">
        <v>386</v>
      </c>
      <c r="U72" s="30"/>
      <c r="V72" s="31" t="s">
        <v>58</v>
      </c>
      <c r="W72" s="36"/>
      <c r="X72" s="30"/>
      <c r="Y72" s="31"/>
      <c r="Z72" s="37"/>
      <c r="AA72" s="30"/>
      <c r="AB72" s="31"/>
      <c r="AC72" s="36"/>
    </row>
    <row r="73" spans="1:29" x14ac:dyDescent="0.2">
      <c r="A73" s="11" t="s">
        <v>226</v>
      </c>
      <c r="B73" s="11">
        <v>10</v>
      </c>
      <c r="C73" s="12" t="s">
        <v>47</v>
      </c>
      <c r="D73" s="36">
        <v>140</v>
      </c>
      <c r="E73" s="36"/>
      <c r="G73" s="31"/>
      <c r="H73" s="36"/>
      <c r="I73" s="30"/>
      <c r="J73" s="12"/>
      <c r="K73" s="30"/>
      <c r="L73" s="30"/>
      <c r="M73" s="30"/>
      <c r="N73" s="30"/>
      <c r="O73" s="30"/>
      <c r="P73" s="30"/>
      <c r="Q73" s="30"/>
      <c r="R73" s="30"/>
      <c r="S73" s="30"/>
      <c r="T73" s="36"/>
      <c r="U73" s="30"/>
      <c r="V73" s="31"/>
      <c r="W73" s="36"/>
      <c r="X73" s="30"/>
      <c r="Y73" s="31"/>
      <c r="Z73" s="37" t="s">
        <v>256</v>
      </c>
      <c r="AA73" s="30"/>
      <c r="AB73" s="31" t="s">
        <v>58</v>
      </c>
      <c r="AC73" s="36"/>
    </row>
    <row r="74" spans="1:29" x14ac:dyDescent="0.2">
      <c r="A74" s="11" t="s">
        <v>226</v>
      </c>
      <c r="B74" s="11">
        <v>11</v>
      </c>
      <c r="C74" s="12" t="s">
        <v>47</v>
      </c>
      <c r="D74" s="36">
        <v>120</v>
      </c>
      <c r="E74" s="36" t="s">
        <v>381</v>
      </c>
      <c r="F74" s="11" t="s">
        <v>54</v>
      </c>
      <c r="G74" s="12" t="s">
        <v>59</v>
      </c>
      <c r="H74" s="36" t="s">
        <v>267</v>
      </c>
      <c r="I74" s="30"/>
      <c r="J74" s="12" t="s">
        <v>58</v>
      </c>
      <c r="K74" s="30"/>
      <c r="L74" s="30"/>
      <c r="M74" s="30"/>
      <c r="N74" s="30"/>
      <c r="O74" s="30"/>
      <c r="P74" s="30"/>
      <c r="Q74" s="30"/>
      <c r="R74" s="30"/>
      <c r="S74" s="30"/>
      <c r="T74" s="36" t="s">
        <v>387</v>
      </c>
      <c r="U74" s="30"/>
      <c r="V74" s="31" t="s">
        <v>58</v>
      </c>
      <c r="W74" s="36" t="s">
        <v>393</v>
      </c>
      <c r="X74" s="30"/>
      <c r="Y74" s="31" t="s">
        <v>58</v>
      </c>
      <c r="Z74" s="39"/>
      <c r="AA74" s="30"/>
      <c r="AB74" s="31"/>
      <c r="AC74" s="36"/>
    </row>
    <row r="75" spans="1:29" x14ac:dyDescent="0.2">
      <c r="A75" s="11" t="s">
        <v>226</v>
      </c>
      <c r="B75" s="11">
        <v>11</v>
      </c>
      <c r="C75" s="12" t="s">
        <v>47</v>
      </c>
      <c r="D75" s="36">
        <v>120</v>
      </c>
      <c r="E75" s="36" t="s">
        <v>343</v>
      </c>
      <c r="F75" s="11" t="s">
        <v>54</v>
      </c>
      <c r="G75" s="12" t="s">
        <v>59</v>
      </c>
      <c r="H75" s="36"/>
      <c r="I75" s="30"/>
      <c r="J75" s="12"/>
      <c r="K75" s="30"/>
      <c r="L75" s="30"/>
      <c r="M75" s="30"/>
      <c r="N75" s="30"/>
      <c r="O75" s="30"/>
      <c r="P75" s="30"/>
      <c r="Q75" s="30"/>
      <c r="R75" s="30"/>
      <c r="S75" s="30"/>
      <c r="T75" s="36"/>
      <c r="U75" s="30"/>
      <c r="V75" s="31"/>
      <c r="W75" s="36"/>
      <c r="X75" s="30"/>
      <c r="Y75" s="31"/>
      <c r="Z75" s="37"/>
      <c r="AA75" s="30"/>
      <c r="AB75" s="31"/>
      <c r="AC75" s="36"/>
    </row>
    <row r="76" spans="1:29" x14ac:dyDescent="0.2">
      <c r="A76" s="11" t="s">
        <v>226</v>
      </c>
      <c r="B76" s="11">
        <v>13</v>
      </c>
      <c r="C76" s="12" t="s">
        <v>47</v>
      </c>
      <c r="D76" s="36">
        <v>100</v>
      </c>
      <c r="E76" s="36"/>
      <c r="G76" s="31"/>
      <c r="H76" s="36" t="s">
        <v>268</v>
      </c>
      <c r="I76" s="30"/>
      <c r="J76" s="12" t="s">
        <v>58</v>
      </c>
      <c r="K76" s="30"/>
      <c r="L76" s="30"/>
      <c r="M76" s="30"/>
      <c r="N76" s="30"/>
      <c r="O76" s="30"/>
      <c r="P76" s="30"/>
      <c r="Q76" s="30"/>
      <c r="R76" s="30"/>
      <c r="S76" s="30"/>
      <c r="T76" s="36" t="s">
        <v>388</v>
      </c>
      <c r="U76" s="30"/>
      <c r="V76" s="31" t="s">
        <v>58</v>
      </c>
      <c r="W76" s="36"/>
      <c r="X76" s="30"/>
      <c r="Y76" s="31"/>
      <c r="Z76" s="37"/>
      <c r="AA76" s="30"/>
      <c r="AB76" s="31"/>
      <c r="AC76" s="36"/>
    </row>
    <row r="77" spans="1:29" x14ac:dyDescent="0.2">
      <c r="A77" s="11" t="s">
        <v>226</v>
      </c>
      <c r="B77" s="11">
        <v>14</v>
      </c>
      <c r="C77" s="12" t="s">
        <v>47</v>
      </c>
      <c r="D77" s="36">
        <v>100</v>
      </c>
      <c r="E77" s="36" t="s">
        <v>345</v>
      </c>
      <c r="F77" s="11" t="s">
        <v>54</v>
      </c>
      <c r="G77" s="31" t="s">
        <v>59</v>
      </c>
      <c r="H77" s="36"/>
      <c r="I77" s="30"/>
      <c r="J77" s="12"/>
      <c r="K77" s="30"/>
      <c r="L77" s="30"/>
      <c r="M77" s="30"/>
      <c r="N77" s="30"/>
      <c r="O77" s="30"/>
      <c r="P77" s="30"/>
      <c r="Q77" s="30"/>
      <c r="R77" s="30"/>
      <c r="S77" s="30"/>
      <c r="T77" s="36"/>
      <c r="U77" s="30"/>
      <c r="V77" s="31"/>
      <c r="W77" s="36" t="s">
        <v>287</v>
      </c>
      <c r="X77" s="30"/>
      <c r="Y77" s="31" t="s">
        <v>58</v>
      </c>
      <c r="Z77" s="37"/>
      <c r="AA77" s="30"/>
      <c r="AB77" s="31"/>
      <c r="AC77" s="36"/>
    </row>
    <row r="78" spans="1:29" x14ac:dyDescent="0.2">
      <c r="A78" s="11" t="s">
        <v>226</v>
      </c>
      <c r="B78" s="11">
        <v>14</v>
      </c>
      <c r="C78" s="12" t="s">
        <v>47</v>
      </c>
      <c r="D78" s="36">
        <v>100</v>
      </c>
      <c r="E78" s="36" t="s">
        <v>342</v>
      </c>
      <c r="F78" s="11" t="s">
        <v>54</v>
      </c>
      <c r="G78" s="31" t="s">
        <v>59</v>
      </c>
      <c r="H78" s="36"/>
      <c r="I78" s="30"/>
      <c r="J78" s="12"/>
      <c r="K78" s="30"/>
      <c r="L78" s="30"/>
      <c r="M78" s="30"/>
      <c r="N78" s="30"/>
      <c r="O78" s="30"/>
      <c r="P78" s="30"/>
      <c r="Q78" s="30"/>
      <c r="R78" s="30"/>
      <c r="S78" s="30"/>
      <c r="T78" s="36"/>
      <c r="U78" s="30"/>
      <c r="V78" s="31"/>
      <c r="W78" s="36"/>
      <c r="X78" s="30"/>
      <c r="Y78" s="31"/>
      <c r="Z78" s="37"/>
      <c r="AA78" s="30"/>
      <c r="AB78" s="31"/>
      <c r="AC78" s="36"/>
    </row>
    <row r="79" spans="1:29" x14ac:dyDescent="0.2">
      <c r="A79" s="11" t="s">
        <v>226</v>
      </c>
      <c r="B79" s="11">
        <v>15</v>
      </c>
      <c r="C79" s="12" t="s">
        <v>47</v>
      </c>
      <c r="D79" s="36">
        <v>80</v>
      </c>
      <c r="E79" s="36"/>
      <c r="G79" s="31"/>
      <c r="H79" s="36" t="s">
        <v>271</v>
      </c>
      <c r="I79" s="30"/>
      <c r="J79" s="12" t="s">
        <v>58</v>
      </c>
      <c r="K79" s="30"/>
      <c r="L79" s="30"/>
      <c r="M79" s="30"/>
      <c r="N79" s="30"/>
      <c r="O79" s="30"/>
      <c r="P79" s="30"/>
      <c r="Q79" s="30"/>
      <c r="R79" s="30"/>
      <c r="S79" s="30"/>
      <c r="T79" s="36" t="s">
        <v>436</v>
      </c>
      <c r="U79" s="30"/>
      <c r="V79" s="31" t="s">
        <v>58</v>
      </c>
      <c r="W79" s="36"/>
      <c r="X79" s="30"/>
      <c r="Y79" s="31"/>
      <c r="Z79" s="39"/>
      <c r="AA79" s="30"/>
      <c r="AB79" s="31"/>
      <c r="AC79" s="36"/>
    </row>
    <row r="80" spans="1:29" x14ac:dyDescent="0.2">
      <c r="A80" s="11" t="s">
        <v>226</v>
      </c>
      <c r="B80" s="11">
        <v>16</v>
      </c>
      <c r="C80" s="12" t="s">
        <v>47</v>
      </c>
      <c r="D80" s="36">
        <v>80</v>
      </c>
      <c r="E80" s="36" t="s">
        <v>338</v>
      </c>
      <c r="F80" s="11" t="s">
        <v>54</v>
      </c>
      <c r="G80" s="12" t="s">
        <v>59</v>
      </c>
      <c r="H80" s="36"/>
      <c r="I80" s="30"/>
      <c r="J80" s="12"/>
      <c r="K80" s="30"/>
      <c r="L80" s="30"/>
      <c r="M80" s="30"/>
      <c r="N80" s="30"/>
      <c r="O80" s="30"/>
      <c r="P80" s="30"/>
      <c r="Q80" s="30"/>
      <c r="R80" s="30"/>
      <c r="S80" s="30"/>
      <c r="T80" s="36"/>
      <c r="U80" s="30"/>
      <c r="V80" s="31"/>
      <c r="W80" s="36" t="s">
        <v>292</v>
      </c>
      <c r="X80" s="30"/>
      <c r="Y80" s="31" t="s">
        <v>58</v>
      </c>
      <c r="Z80" s="37" t="s">
        <v>340</v>
      </c>
      <c r="AA80" s="30"/>
      <c r="AB80" s="31" t="s">
        <v>58</v>
      </c>
      <c r="AC80" s="36"/>
    </row>
    <row r="81" spans="1:29" x14ac:dyDescent="0.2">
      <c r="A81" s="11" t="s">
        <v>226</v>
      </c>
      <c r="B81" s="11">
        <v>16</v>
      </c>
      <c r="C81" s="12" t="s">
        <v>47</v>
      </c>
      <c r="D81" s="36">
        <v>80</v>
      </c>
      <c r="E81" s="36" t="s">
        <v>350</v>
      </c>
      <c r="F81" s="11" t="s">
        <v>54</v>
      </c>
      <c r="G81" s="12" t="s">
        <v>59</v>
      </c>
      <c r="H81" s="36"/>
      <c r="I81" s="30"/>
      <c r="J81" s="12"/>
      <c r="K81" s="30"/>
      <c r="L81" s="30"/>
      <c r="M81" s="30"/>
      <c r="N81" s="30"/>
      <c r="O81" s="30"/>
      <c r="P81" s="30"/>
      <c r="Q81" s="30"/>
      <c r="R81" s="30"/>
      <c r="S81" s="30"/>
      <c r="T81" s="36"/>
      <c r="U81" s="30"/>
      <c r="V81" s="31"/>
      <c r="W81" s="36"/>
      <c r="X81" s="30"/>
      <c r="Y81" s="31"/>
      <c r="Z81" s="37"/>
      <c r="AA81" s="30"/>
      <c r="AB81" s="31"/>
      <c r="AC81" s="36"/>
    </row>
    <row r="82" spans="1:29" x14ac:dyDescent="0.2">
      <c r="A82" s="11" t="s">
        <v>226</v>
      </c>
      <c r="B82" s="11">
        <v>17</v>
      </c>
      <c r="C82" s="12" t="s">
        <v>47</v>
      </c>
      <c r="D82" s="36">
        <v>60</v>
      </c>
      <c r="E82" s="36"/>
      <c r="G82" s="31"/>
      <c r="H82" s="36" t="s">
        <v>273</v>
      </c>
      <c r="I82" s="30"/>
      <c r="J82" s="12" t="s">
        <v>58</v>
      </c>
      <c r="K82" s="30"/>
      <c r="L82" s="30"/>
      <c r="M82" s="30"/>
      <c r="N82" s="30"/>
      <c r="O82" s="30"/>
      <c r="P82" s="30"/>
      <c r="Q82" s="30"/>
      <c r="R82" s="30"/>
      <c r="S82" s="30"/>
      <c r="T82" s="36" t="s">
        <v>389</v>
      </c>
      <c r="U82" s="30"/>
      <c r="V82" s="31" t="s">
        <v>58</v>
      </c>
      <c r="W82" s="36"/>
      <c r="X82" s="30"/>
      <c r="Y82" s="31"/>
      <c r="Z82" s="39"/>
      <c r="AA82" s="30"/>
      <c r="AB82" s="31"/>
      <c r="AC82" s="36"/>
    </row>
    <row r="83" spans="1:29" x14ac:dyDescent="0.2">
      <c r="A83" s="11" t="s">
        <v>226</v>
      </c>
      <c r="B83" s="11">
        <v>18</v>
      </c>
      <c r="C83" s="12" t="s">
        <v>47</v>
      </c>
      <c r="D83" s="36">
        <v>60</v>
      </c>
      <c r="E83" s="36" t="s">
        <v>349</v>
      </c>
      <c r="F83" s="11" t="s">
        <v>54</v>
      </c>
      <c r="G83" s="31" t="s">
        <v>59</v>
      </c>
      <c r="H83" s="36"/>
      <c r="I83" s="30"/>
      <c r="J83" s="12"/>
      <c r="K83" s="30"/>
      <c r="L83" s="30"/>
      <c r="M83" s="30"/>
      <c r="N83" s="30"/>
      <c r="O83" s="30"/>
      <c r="P83" s="30"/>
      <c r="Q83" s="30"/>
      <c r="R83" s="30"/>
      <c r="S83" s="30"/>
      <c r="T83" s="36"/>
      <c r="U83" s="30"/>
      <c r="V83" s="31"/>
      <c r="W83" s="36" t="s">
        <v>291</v>
      </c>
      <c r="X83" s="30"/>
      <c r="Y83" s="31" t="s">
        <v>58</v>
      </c>
      <c r="Z83" s="39" t="s">
        <v>253</v>
      </c>
      <c r="AA83" s="30"/>
      <c r="AB83" s="31" t="s">
        <v>58</v>
      </c>
      <c r="AC83" s="36"/>
    </row>
    <row r="84" spans="1:29" x14ac:dyDescent="0.2">
      <c r="A84" s="11" t="s">
        <v>226</v>
      </c>
      <c r="B84" s="11">
        <v>18</v>
      </c>
      <c r="C84" s="12" t="s">
        <v>47</v>
      </c>
      <c r="D84" s="36">
        <v>60</v>
      </c>
      <c r="E84" s="36" t="s">
        <v>352</v>
      </c>
      <c r="F84" s="11" t="s">
        <v>54</v>
      </c>
      <c r="G84" s="31" t="s">
        <v>59</v>
      </c>
      <c r="H84" s="36"/>
      <c r="I84" s="30"/>
      <c r="J84" s="12"/>
      <c r="K84" s="30"/>
      <c r="L84" s="30"/>
      <c r="M84" s="30"/>
      <c r="N84" s="30"/>
      <c r="O84" s="30"/>
      <c r="P84" s="30"/>
      <c r="Q84" s="30"/>
      <c r="R84" s="30"/>
      <c r="S84" s="30"/>
      <c r="T84" s="36"/>
      <c r="U84" s="30"/>
      <c r="V84" s="31"/>
      <c r="W84" s="36"/>
      <c r="X84" s="30"/>
      <c r="Y84" s="31"/>
      <c r="Z84" s="39"/>
      <c r="AA84" s="30"/>
      <c r="AB84" s="31"/>
      <c r="AC84" s="36"/>
    </row>
    <row r="85" spans="1:29" x14ac:dyDescent="0.2">
      <c r="A85" s="11" t="s">
        <v>226</v>
      </c>
      <c r="B85" s="11">
        <v>19</v>
      </c>
      <c r="C85" s="12" t="s">
        <v>47</v>
      </c>
      <c r="D85" s="36">
        <v>40</v>
      </c>
      <c r="E85" s="36"/>
      <c r="G85" s="31"/>
      <c r="H85" s="36" t="s">
        <v>301</v>
      </c>
      <c r="I85" s="30"/>
      <c r="J85" s="12" t="s">
        <v>58</v>
      </c>
      <c r="K85" s="30"/>
      <c r="L85" s="30"/>
      <c r="M85" s="30"/>
      <c r="N85" s="30"/>
      <c r="O85" s="30"/>
      <c r="P85" s="30"/>
      <c r="Q85" s="30"/>
      <c r="R85" s="30"/>
      <c r="S85" s="30"/>
      <c r="T85" s="36" t="s">
        <v>390</v>
      </c>
      <c r="U85" s="30"/>
      <c r="V85" s="31" t="s">
        <v>58</v>
      </c>
      <c r="W85" s="36"/>
      <c r="X85" s="30"/>
      <c r="Y85" s="31"/>
      <c r="Z85" s="37"/>
      <c r="AA85" s="30"/>
      <c r="AB85" s="31"/>
      <c r="AC85" s="36"/>
    </row>
    <row r="86" spans="1:29" x14ac:dyDescent="0.2">
      <c r="A86" s="11" t="s">
        <v>226</v>
      </c>
      <c r="B86" s="11">
        <v>20</v>
      </c>
      <c r="C86" s="12" t="s">
        <v>47</v>
      </c>
      <c r="D86" s="36">
        <v>40</v>
      </c>
      <c r="E86" s="36"/>
      <c r="G86" s="31"/>
      <c r="H86" s="36"/>
      <c r="I86" s="30"/>
      <c r="J86" s="12"/>
      <c r="K86" s="30"/>
      <c r="L86" s="30"/>
      <c r="M86" s="30"/>
      <c r="N86" s="30"/>
      <c r="O86" s="30"/>
      <c r="P86" s="30"/>
      <c r="Q86" s="30"/>
      <c r="R86" s="30"/>
      <c r="S86" s="30"/>
      <c r="T86" s="36"/>
      <c r="U86" s="30"/>
      <c r="V86" s="31"/>
      <c r="W86" s="36"/>
      <c r="X86" s="30"/>
      <c r="Y86" s="31"/>
      <c r="Z86" s="37" t="s">
        <v>277</v>
      </c>
      <c r="AA86" s="30"/>
      <c r="AB86" s="31" t="s">
        <v>58</v>
      </c>
      <c r="AC86" s="36"/>
    </row>
    <row r="87" spans="1:29" x14ac:dyDescent="0.2">
      <c r="A87" s="11" t="s">
        <v>226</v>
      </c>
      <c r="B87" s="11">
        <v>21</v>
      </c>
      <c r="C87" s="12" t="s">
        <v>47</v>
      </c>
      <c r="D87" s="36">
        <v>20</v>
      </c>
      <c r="E87" s="36" t="s">
        <v>351</v>
      </c>
      <c r="F87" s="11" t="s">
        <v>54</v>
      </c>
      <c r="G87" s="31" t="s">
        <v>59</v>
      </c>
      <c r="H87" s="36"/>
      <c r="I87" s="30"/>
      <c r="J87" s="12"/>
      <c r="K87" s="30"/>
      <c r="L87" s="30"/>
      <c r="M87" s="30"/>
      <c r="N87" s="30"/>
      <c r="O87" s="30"/>
      <c r="P87" s="30"/>
      <c r="Q87" s="30"/>
      <c r="R87" s="30"/>
      <c r="S87" s="30"/>
      <c r="T87" s="36"/>
      <c r="U87" s="30"/>
      <c r="V87" s="31"/>
      <c r="W87" s="36" t="s">
        <v>394</v>
      </c>
      <c r="X87" s="30"/>
      <c r="Y87" s="31" t="s">
        <v>58</v>
      </c>
      <c r="Z87" s="37"/>
      <c r="AA87" s="30"/>
      <c r="AB87" s="31"/>
      <c r="AC87" s="36"/>
    </row>
    <row r="88" spans="1:29" x14ac:dyDescent="0.2">
      <c r="A88" s="11" t="s">
        <v>226</v>
      </c>
      <c r="B88" s="11">
        <v>21</v>
      </c>
      <c r="C88" s="12" t="s">
        <v>47</v>
      </c>
      <c r="D88" s="36">
        <v>20</v>
      </c>
      <c r="E88" s="36" t="s">
        <v>354</v>
      </c>
      <c r="F88" s="11" t="s">
        <v>54</v>
      </c>
      <c r="G88" s="31" t="s">
        <v>59</v>
      </c>
      <c r="H88" s="36"/>
      <c r="I88" s="30"/>
      <c r="J88" s="12"/>
      <c r="K88" s="30"/>
      <c r="L88" s="30"/>
      <c r="M88" s="30"/>
      <c r="N88" s="30"/>
      <c r="O88" s="30"/>
      <c r="P88" s="30"/>
      <c r="Q88" s="30"/>
      <c r="R88" s="30"/>
      <c r="S88" s="30"/>
      <c r="T88" s="36"/>
      <c r="U88" s="30"/>
      <c r="V88" s="31"/>
      <c r="W88" s="36"/>
      <c r="X88" s="30"/>
      <c r="Y88" s="31"/>
      <c r="Z88" s="37"/>
      <c r="AA88" s="30"/>
      <c r="AB88" s="31"/>
      <c r="AC88" s="36"/>
    </row>
    <row r="89" spans="1:29" x14ac:dyDescent="0.2">
      <c r="A89" s="11" t="s">
        <v>226</v>
      </c>
      <c r="B89" s="11">
        <v>22</v>
      </c>
      <c r="C89" s="12" t="s">
        <v>47</v>
      </c>
      <c r="D89" s="36">
        <v>20</v>
      </c>
      <c r="E89" s="36"/>
      <c r="G89" s="31"/>
      <c r="H89" s="36" t="s">
        <v>300</v>
      </c>
      <c r="I89" s="30"/>
      <c r="J89" s="12" t="s">
        <v>58</v>
      </c>
      <c r="K89" s="30"/>
      <c r="L89" s="30"/>
      <c r="M89" s="30"/>
      <c r="N89" s="30"/>
      <c r="O89" s="30"/>
      <c r="P89" s="30"/>
      <c r="Q89" s="30"/>
      <c r="R89" s="30"/>
      <c r="S89" s="30"/>
      <c r="T89" s="36" t="s">
        <v>391</v>
      </c>
      <c r="U89" s="30"/>
      <c r="V89" s="31" t="s">
        <v>58</v>
      </c>
      <c r="W89" s="36"/>
      <c r="X89" s="30"/>
      <c r="Y89" s="31"/>
      <c r="Z89" s="39" t="s">
        <v>396</v>
      </c>
      <c r="AA89" s="30"/>
      <c r="AB89" s="31" t="s">
        <v>58</v>
      </c>
      <c r="AC89" s="36" t="s">
        <v>397</v>
      </c>
    </row>
    <row r="90" spans="1:29" x14ac:dyDescent="0.2">
      <c r="A90" s="11" t="s">
        <v>226</v>
      </c>
      <c r="B90" s="11">
        <v>23</v>
      </c>
      <c r="C90" s="12" t="s">
        <v>47</v>
      </c>
      <c r="D90" s="36">
        <v>10</v>
      </c>
      <c r="E90" s="36" t="s">
        <v>355</v>
      </c>
      <c r="F90" s="11" t="s">
        <v>54</v>
      </c>
      <c r="G90" s="31" t="s">
        <v>59</v>
      </c>
      <c r="H90" s="36"/>
      <c r="I90" s="30"/>
      <c r="J90" s="12"/>
      <c r="K90" s="30"/>
      <c r="L90" s="30"/>
      <c r="M90" s="30"/>
      <c r="N90" s="30"/>
      <c r="O90" s="30"/>
      <c r="P90" s="30"/>
      <c r="Q90" s="30"/>
      <c r="R90" s="30"/>
      <c r="S90" s="30"/>
      <c r="T90" s="36"/>
      <c r="U90" s="30"/>
      <c r="V90" s="31"/>
      <c r="W90" s="36" t="s">
        <v>395</v>
      </c>
      <c r="X90" s="30"/>
      <c r="Y90" s="31" t="s">
        <v>58</v>
      </c>
      <c r="Z90" s="37"/>
      <c r="AA90" s="30"/>
      <c r="AB90" s="31"/>
      <c r="AC90" s="36"/>
    </row>
    <row r="91" spans="1:29" x14ac:dyDescent="0.2">
      <c r="A91" s="11" t="s">
        <v>226</v>
      </c>
      <c r="B91" s="11">
        <v>23</v>
      </c>
      <c r="C91" s="12" t="s">
        <v>47</v>
      </c>
      <c r="D91" s="36">
        <v>10</v>
      </c>
      <c r="E91" s="36" t="s">
        <v>357</v>
      </c>
      <c r="F91" s="11" t="s">
        <v>54</v>
      </c>
      <c r="G91" s="31" t="s">
        <v>59</v>
      </c>
      <c r="H91" s="36"/>
      <c r="I91" s="30"/>
      <c r="J91" s="12"/>
      <c r="K91" s="30"/>
      <c r="L91" s="30"/>
      <c r="M91" s="30"/>
      <c r="N91" s="30"/>
      <c r="O91" s="30"/>
      <c r="P91" s="30"/>
      <c r="Q91" s="30"/>
      <c r="R91" s="30"/>
      <c r="S91" s="30"/>
      <c r="T91" s="36"/>
      <c r="U91" s="30"/>
      <c r="V91" s="31"/>
      <c r="W91" s="36"/>
      <c r="X91" s="30"/>
      <c r="Y91" s="31"/>
      <c r="Z91" s="37"/>
      <c r="AA91" s="30"/>
      <c r="AB91" s="31"/>
      <c r="AC91" s="36"/>
    </row>
    <row r="92" spans="1:29" x14ac:dyDescent="0.2">
      <c r="A92" s="11" t="s">
        <v>226</v>
      </c>
      <c r="B92" s="11">
        <v>24</v>
      </c>
      <c r="C92" s="12" t="s">
        <v>47</v>
      </c>
      <c r="D92" s="36">
        <v>10</v>
      </c>
      <c r="E92" s="36"/>
      <c r="F92" s="30"/>
      <c r="G92" s="31"/>
      <c r="H92" s="36" t="s">
        <v>299</v>
      </c>
      <c r="I92" s="30"/>
      <c r="J92" s="12" t="s">
        <v>58</v>
      </c>
      <c r="K92" s="30"/>
      <c r="L92" s="30"/>
      <c r="M92" s="30"/>
      <c r="N92" s="30"/>
      <c r="O92" s="30"/>
      <c r="P92" s="30"/>
      <c r="Q92" s="30"/>
      <c r="R92" s="30"/>
      <c r="S92" s="30"/>
      <c r="T92" s="36" t="s">
        <v>392</v>
      </c>
      <c r="U92" s="30"/>
      <c r="V92" s="31" t="s">
        <v>58</v>
      </c>
      <c r="W92" s="36"/>
      <c r="X92" s="30"/>
      <c r="Y92" s="31"/>
      <c r="Z92" s="39" t="s">
        <v>233</v>
      </c>
      <c r="AA92" s="30"/>
      <c r="AB92" s="31" t="s">
        <v>58</v>
      </c>
      <c r="AC92" s="36"/>
    </row>
    <row r="93" spans="1:29" x14ac:dyDescent="0.2">
      <c r="A93" s="11" t="s">
        <v>227</v>
      </c>
      <c r="B93" s="11">
        <v>2</v>
      </c>
      <c r="C93" s="12" t="s">
        <v>47</v>
      </c>
      <c r="D93" s="36">
        <v>2895</v>
      </c>
      <c r="E93" s="36" t="s">
        <v>363</v>
      </c>
      <c r="F93" s="30" t="s">
        <v>54</v>
      </c>
      <c r="G93" s="31" t="s">
        <v>60</v>
      </c>
      <c r="H93" s="30"/>
      <c r="I93" s="30"/>
      <c r="J93" s="31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1"/>
      <c r="W93" s="36" t="s">
        <v>317</v>
      </c>
      <c r="X93" s="30"/>
      <c r="Y93" s="31" t="s">
        <v>58</v>
      </c>
      <c r="Z93" s="37" t="s">
        <v>270</v>
      </c>
      <c r="AA93" s="30"/>
      <c r="AB93" s="31" t="s">
        <v>58</v>
      </c>
      <c r="AC93" s="36"/>
    </row>
    <row r="94" spans="1:29" x14ac:dyDescent="0.2">
      <c r="A94" s="11" t="s">
        <v>227</v>
      </c>
      <c r="B94" s="11">
        <v>2</v>
      </c>
      <c r="C94" s="12" t="s">
        <v>47</v>
      </c>
      <c r="D94" s="36">
        <v>2895</v>
      </c>
      <c r="E94" s="36" t="s">
        <v>364</v>
      </c>
      <c r="F94" s="30" t="s">
        <v>478</v>
      </c>
      <c r="G94" s="31" t="s">
        <v>60</v>
      </c>
      <c r="H94" s="30"/>
      <c r="I94" s="30"/>
      <c r="J94" s="31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1"/>
      <c r="W94" s="36"/>
      <c r="X94" s="30"/>
      <c r="Y94" s="31"/>
      <c r="Z94" s="37"/>
      <c r="AA94" s="30"/>
      <c r="AB94" s="31"/>
      <c r="AC94" s="36" t="s">
        <v>479</v>
      </c>
    </row>
    <row r="95" spans="1:29" x14ac:dyDescent="0.2">
      <c r="A95" s="11" t="s">
        <v>227</v>
      </c>
      <c r="B95" s="11">
        <v>2</v>
      </c>
      <c r="C95" s="12" t="s">
        <v>47</v>
      </c>
      <c r="D95" s="36">
        <v>2895</v>
      </c>
      <c r="E95" s="36" t="s">
        <v>370</v>
      </c>
      <c r="F95" s="30" t="s">
        <v>54</v>
      </c>
      <c r="G95" s="31" t="s">
        <v>60</v>
      </c>
      <c r="H95" s="30"/>
      <c r="I95" s="30"/>
      <c r="J95" s="31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1"/>
      <c r="W95" s="36"/>
      <c r="X95" s="30"/>
      <c r="Y95" s="31"/>
      <c r="Z95" s="39"/>
      <c r="AA95" s="30"/>
      <c r="AB95" s="31"/>
      <c r="AC95" s="36"/>
    </row>
    <row r="96" spans="1:29" x14ac:dyDescent="0.2">
      <c r="A96" s="11" t="s">
        <v>227</v>
      </c>
      <c r="B96" s="11">
        <v>5</v>
      </c>
      <c r="C96" s="12" t="s">
        <v>47</v>
      </c>
      <c r="D96" s="36">
        <v>2500</v>
      </c>
      <c r="E96" s="36" t="s">
        <v>366</v>
      </c>
      <c r="F96" s="30" t="s">
        <v>54</v>
      </c>
      <c r="G96" s="31" t="s">
        <v>59</v>
      </c>
      <c r="H96" s="30"/>
      <c r="I96" s="30"/>
      <c r="J96" s="31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1"/>
      <c r="W96" s="36" t="s">
        <v>401</v>
      </c>
      <c r="X96" s="30"/>
      <c r="Y96" s="31" t="s">
        <v>58</v>
      </c>
      <c r="Z96" s="39" t="s">
        <v>262</v>
      </c>
      <c r="AA96" s="30"/>
      <c r="AB96" s="31" t="s">
        <v>58</v>
      </c>
      <c r="AC96" s="36"/>
    </row>
    <row r="97" spans="1:29" x14ac:dyDescent="0.2">
      <c r="A97" s="11" t="s">
        <v>227</v>
      </c>
      <c r="B97" s="11">
        <v>5</v>
      </c>
      <c r="C97" s="12" t="s">
        <v>47</v>
      </c>
      <c r="D97" s="36">
        <v>2500</v>
      </c>
      <c r="E97" s="36" t="s">
        <v>367</v>
      </c>
      <c r="F97" s="30" t="s">
        <v>54</v>
      </c>
      <c r="G97" s="31" t="s">
        <v>59</v>
      </c>
      <c r="H97" s="30"/>
      <c r="I97" s="30"/>
      <c r="J97" s="31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1"/>
      <c r="W97" s="36"/>
      <c r="X97" s="30"/>
      <c r="Y97" s="31"/>
      <c r="Z97" s="37"/>
      <c r="AA97" s="30"/>
      <c r="AB97" s="31"/>
      <c r="AC97" s="36"/>
    </row>
    <row r="98" spans="1:29" x14ac:dyDescent="0.2">
      <c r="A98" s="11" t="s">
        <v>227</v>
      </c>
      <c r="B98" s="11">
        <v>8</v>
      </c>
      <c r="C98" s="12" t="s">
        <v>47</v>
      </c>
      <c r="D98" s="36">
        <v>2000</v>
      </c>
      <c r="E98" s="36" t="s">
        <v>368</v>
      </c>
      <c r="F98" s="30" t="s">
        <v>54</v>
      </c>
      <c r="G98" s="31" t="s">
        <v>59</v>
      </c>
      <c r="H98" s="30"/>
      <c r="I98" s="30"/>
      <c r="J98" s="31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1"/>
      <c r="W98" s="36" t="s">
        <v>402</v>
      </c>
      <c r="X98" s="30"/>
      <c r="Y98" s="31" t="s">
        <v>58</v>
      </c>
      <c r="Z98" s="39" t="s">
        <v>275</v>
      </c>
      <c r="AA98" s="30"/>
      <c r="AB98" s="31" t="s">
        <v>58</v>
      </c>
      <c r="AC98" s="36"/>
    </row>
    <row r="99" spans="1:29" x14ac:dyDescent="0.2">
      <c r="A99" s="11" t="s">
        <v>227</v>
      </c>
      <c r="B99" s="11">
        <v>8</v>
      </c>
      <c r="C99" s="12" t="s">
        <v>47</v>
      </c>
      <c r="D99" s="36">
        <v>2000</v>
      </c>
      <c r="E99" s="36" t="s">
        <v>369</v>
      </c>
      <c r="F99" s="30" t="s">
        <v>54</v>
      </c>
      <c r="G99" s="31" t="s">
        <v>59</v>
      </c>
      <c r="H99" s="30"/>
      <c r="I99" s="30"/>
      <c r="J99" s="31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1"/>
      <c r="W99" s="36"/>
      <c r="X99" s="30"/>
      <c r="Y99" s="31"/>
      <c r="Z99" s="39"/>
      <c r="AA99" s="30"/>
      <c r="AB99" s="31"/>
      <c r="AC99" s="36"/>
    </row>
    <row r="100" spans="1:29" x14ac:dyDescent="0.2">
      <c r="A100" s="11" t="s">
        <v>227</v>
      </c>
      <c r="B100" s="11">
        <v>10</v>
      </c>
      <c r="C100" s="12" t="s">
        <v>47</v>
      </c>
      <c r="D100" s="36">
        <v>1500</v>
      </c>
      <c r="E100" s="36" t="s">
        <v>371</v>
      </c>
      <c r="F100" s="30" t="s">
        <v>54</v>
      </c>
      <c r="G100" s="31" t="s">
        <v>59</v>
      </c>
      <c r="H100" s="30"/>
      <c r="I100" s="30"/>
      <c r="J100" s="31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1"/>
      <c r="W100" s="36" t="s">
        <v>403</v>
      </c>
      <c r="X100" s="30"/>
      <c r="Y100" s="31" t="s">
        <v>58</v>
      </c>
      <c r="Z100" s="39"/>
      <c r="AA100" s="30"/>
      <c r="AB100" s="31"/>
      <c r="AC100" s="36"/>
    </row>
    <row r="101" spans="1:29" x14ac:dyDescent="0.2">
      <c r="A101" s="11" t="s">
        <v>227</v>
      </c>
      <c r="B101" s="11">
        <v>10</v>
      </c>
      <c r="C101" s="12" t="s">
        <v>47</v>
      </c>
      <c r="D101" s="36">
        <v>1500</v>
      </c>
      <c r="E101" s="36" t="s">
        <v>373</v>
      </c>
      <c r="F101" s="30" t="s">
        <v>54</v>
      </c>
      <c r="G101" s="31" t="s">
        <v>59</v>
      </c>
      <c r="H101" s="30"/>
      <c r="I101" s="30"/>
      <c r="J101" s="31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1"/>
      <c r="W101" s="36"/>
      <c r="X101" s="30"/>
      <c r="Y101" s="31"/>
      <c r="Z101" s="39"/>
      <c r="AA101" s="30"/>
      <c r="AB101" s="31"/>
      <c r="AC101" s="36"/>
    </row>
    <row r="102" spans="1:29" x14ac:dyDescent="0.2">
      <c r="A102" s="11" t="s">
        <v>227</v>
      </c>
      <c r="B102" s="11">
        <v>13</v>
      </c>
      <c r="C102" s="12" t="s">
        <v>47</v>
      </c>
      <c r="D102" s="36">
        <v>500</v>
      </c>
      <c r="E102" s="36" t="s">
        <v>374</v>
      </c>
      <c r="F102" s="30" t="s">
        <v>54</v>
      </c>
      <c r="G102" s="31" t="s">
        <v>59</v>
      </c>
      <c r="H102" s="30"/>
      <c r="I102" s="30"/>
      <c r="J102" s="31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1"/>
      <c r="W102" s="36" t="s">
        <v>404</v>
      </c>
      <c r="X102" s="30"/>
      <c r="Y102" s="31" t="s">
        <v>58</v>
      </c>
      <c r="Z102" s="39" t="s">
        <v>279</v>
      </c>
      <c r="AA102" s="30"/>
      <c r="AB102" s="31" t="s">
        <v>58</v>
      </c>
      <c r="AC102" s="36"/>
    </row>
    <row r="103" spans="1:29" x14ac:dyDescent="0.2">
      <c r="A103" s="11" t="s">
        <v>227</v>
      </c>
      <c r="B103" s="11">
        <v>13</v>
      </c>
      <c r="C103" s="12" t="s">
        <v>47</v>
      </c>
      <c r="D103" s="36">
        <v>500</v>
      </c>
      <c r="E103" s="36" t="s">
        <v>376</v>
      </c>
      <c r="F103" s="30" t="s">
        <v>54</v>
      </c>
      <c r="G103" s="31" t="s">
        <v>59</v>
      </c>
      <c r="H103" s="30"/>
      <c r="I103" s="30"/>
      <c r="J103" s="31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1"/>
      <c r="W103" s="36"/>
      <c r="X103" s="30"/>
      <c r="Y103" s="31"/>
      <c r="Z103" s="39"/>
      <c r="AA103" s="30"/>
      <c r="AB103" s="31"/>
      <c r="AC103" s="36"/>
    </row>
    <row r="104" spans="1:29" x14ac:dyDescent="0.2">
      <c r="A104" s="11" t="s">
        <v>227</v>
      </c>
      <c r="B104" s="11">
        <v>16</v>
      </c>
      <c r="C104" s="12" t="s">
        <v>47</v>
      </c>
      <c r="D104" s="36">
        <v>250</v>
      </c>
      <c r="E104" s="36" t="s">
        <v>377</v>
      </c>
      <c r="F104" s="30" t="s">
        <v>54</v>
      </c>
      <c r="G104" s="31" t="s">
        <v>59</v>
      </c>
      <c r="H104" s="30"/>
      <c r="I104" s="30"/>
      <c r="J104" s="31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1"/>
      <c r="W104" s="36" t="s">
        <v>405</v>
      </c>
      <c r="X104" s="30"/>
      <c r="Y104" s="31" t="s">
        <v>58</v>
      </c>
      <c r="Z104" s="39"/>
      <c r="AA104" s="30"/>
      <c r="AB104" s="31"/>
      <c r="AC104" s="36"/>
    </row>
    <row r="105" spans="1:29" x14ac:dyDescent="0.2">
      <c r="A105" s="11" t="s">
        <v>227</v>
      </c>
      <c r="B105" s="11">
        <v>16</v>
      </c>
      <c r="C105" s="12" t="s">
        <v>47</v>
      </c>
      <c r="D105" s="36">
        <v>250</v>
      </c>
      <c r="E105" s="36" t="s">
        <v>398</v>
      </c>
      <c r="F105" s="30" t="s">
        <v>54</v>
      </c>
      <c r="G105" s="31" t="s">
        <v>59</v>
      </c>
      <c r="H105" s="30"/>
      <c r="I105" s="30"/>
      <c r="J105" s="31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1"/>
      <c r="W105" s="36"/>
      <c r="X105" s="30"/>
      <c r="Y105" s="31"/>
      <c r="Z105" s="39"/>
      <c r="AA105" s="30"/>
      <c r="AB105" s="31"/>
      <c r="AC105" s="36"/>
    </row>
    <row r="106" spans="1:29" x14ac:dyDescent="0.2">
      <c r="A106" s="11" t="s">
        <v>227</v>
      </c>
      <c r="B106" s="11">
        <v>17</v>
      </c>
      <c r="C106" s="12" t="s">
        <v>47</v>
      </c>
      <c r="D106" s="36">
        <v>100</v>
      </c>
      <c r="E106" s="36"/>
      <c r="F106" s="30"/>
      <c r="G106" s="31"/>
      <c r="H106" s="30"/>
      <c r="I106" s="30"/>
      <c r="J106" s="31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1"/>
      <c r="W106" s="36"/>
      <c r="X106" s="30"/>
      <c r="Y106" s="31"/>
      <c r="Z106" s="39" t="s">
        <v>298</v>
      </c>
      <c r="AA106" s="30"/>
      <c r="AB106" s="31" t="s">
        <v>58</v>
      </c>
      <c r="AC106" s="36"/>
    </row>
    <row r="107" spans="1:29" x14ac:dyDescent="0.2">
      <c r="A107" s="11" t="s">
        <v>227</v>
      </c>
      <c r="B107" s="11">
        <v>18</v>
      </c>
      <c r="C107" s="12" t="s">
        <v>47</v>
      </c>
      <c r="D107" s="36">
        <v>100</v>
      </c>
      <c r="E107" s="36" t="s">
        <v>378</v>
      </c>
      <c r="F107" s="30" t="s">
        <v>54</v>
      </c>
      <c r="G107" s="31" t="s">
        <v>59</v>
      </c>
      <c r="H107" s="30"/>
      <c r="I107" s="30"/>
      <c r="J107" s="31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1"/>
      <c r="W107" s="36" t="s">
        <v>406</v>
      </c>
      <c r="X107" s="30"/>
      <c r="Y107" s="31" t="s">
        <v>58</v>
      </c>
      <c r="Z107" s="39"/>
      <c r="AA107" s="30"/>
      <c r="AB107" s="31"/>
      <c r="AC107" s="36"/>
    </row>
    <row r="108" spans="1:29" x14ac:dyDescent="0.2">
      <c r="A108" s="11" t="s">
        <v>227</v>
      </c>
      <c r="B108" s="11">
        <v>18</v>
      </c>
      <c r="C108" s="12" t="s">
        <v>47</v>
      </c>
      <c r="D108" s="36">
        <v>100</v>
      </c>
      <c r="E108" s="36" t="s">
        <v>379</v>
      </c>
      <c r="F108" s="30" t="s">
        <v>54</v>
      </c>
      <c r="G108" s="31" t="s">
        <v>59</v>
      </c>
      <c r="H108" s="30"/>
      <c r="I108" s="30"/>
      <c r="J108" s="31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1"/>
      <c r="W108" s="36"/>
      <c r="X108" s="30"/>
      <c r="Y108" s="31"/>
      <c r="Z108" s="39"/>
      <c r="AA108" s="30"/>
      <c r="AB108" s="31"/>
      <c r="AC108" s="36"/>
    </row>
    <row r="109" spans="1:29" x14ac:dyDescent="0.2">
      <c r="A109" s="11" t="s">
        <v>227</v>
      </c>
      <c r="B109" s="11">
        <v>19</v>
      </c>
      <c r="C109" s="12" t="s">
        <v>47</v>
      </c>
      <c r="D109" s="36">
        <v>50</v>
      </c>
      <c r="E109" s="36"/>
      <c r="F109" s="30"/>
      <c r="G109" s="31"/>
      <c r="H109" s="30"/>
      <c r="I109" s="30"/>
      <c r="J109" s="31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1"/>
      <c r="W109" s="36"/>
      <c r="X109" s="30"/>
      <c r="Y109" s="31"/>
      <c r="Z109" s="39" t="s">
        <v>238</v>
      </c>
      <c r="AA109" s="30"/>
      <c r="AB109" s="31" t="s">
        <v>58</v>
      </c>
      <c r="AC109" s="36"/>
    </row>
    <row r="110" spans="1:29" x14ac:dyDescent="0.2">
      <c r="A110" s="11" t="s">
        <v>227</v>
      </c>
      <c r="B110" s="11">
        <v>21</v>
      </c>
      <c r="C110" s="12" t="s">
        <v>47</v>
      </c>
      <c r="D110" s="36">
        <v>30</v>
      </c>
      <c r="E110" s="36" t="s">
        <v>399</v>
      </c>
      <c r="F110" s="30" t="s">
        <v>54</v>
      </c>
      <c r="G110" s="31" t="s">
        <v>59</v>
      </c>
      <c r="H110" s="30"/>
      <c r="I110" s="30"/>
      <c r="J110" s="31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1"/>
      <c r="W110" s="36" t="s">
        <v>318</v>
      </c>
      <c r="X110" s="30"/>
      <c r="Y110" s="31" t="s">
        <v>58</v>
      </c>
      <c r="Z110" s="37"/>
      <c r="AA110" s="30"/>
      <c r="AB110" s="31"/>
      <c r="AC110" s="36"/>
    </row>
    <row r="111" spans="1:29" x14ac:dyDescent="0.2">
      <c r="A111" s="11" t="s">
        <v>227</v>
      </c>
      <c r="B111" s="11">
        <v>21</v>
      </c>
      <c r="C111" s="12" t="s">
        <v>47</v>
      </c>
      <c r="D111" s="36">
        <v>30</v>
      </c>
      <c r="E111" s="36" t="s">
        <v>400</v>
      </c>
      <c r="F111" s="30" t="s">
        <v>54</v>
      </c>
      <c r="G111" s="31" t="s">
        <v>59</v>
      </c>
      <c r="H111" s="30"/>
      <c r="I111" s="30"/>
      <c r="J111" s="31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1"/>
      <c r="W111" s="36"/>
      <c r="X111" s="30"/>
      <c r="Y111" s="31"/>
      <c r="Z111" s="37"/>
      <c r="AA111" s="30"/>
      <c r="AB111" s="31"/>
      <c r="AC111" s="36"/>
    </row>
    <row r="112" spans="1:29" x14ac:dyDescent="0.2">
      <c r="A112" s="11" t="s">
        <v>227</v>
      </c>
      <c r="B112" s="11">
        <v>22</v>
      </c>
      <c r="C112" s="12" t="s">
        <v>47</v>
      </c>
      <c r="D112" s="36">
        <v>30</v>
      </c>
      <c r="E112" s="36"/>
      <c r="F112" s="30"/>
      <c r="G112" s="31"/>
      <c r="H112" s="30"/>
      <c r="I112" s="30"/>
      <c r="J112" s="31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1"/>
      <c r="W112" s="36"/>
      <c r="X112" s="30"/>
      <c r="Y112" s="31"/>
      <c r="Z112" s="37" t="s">
        <v>407</v>
      </c>
      <c r="AA112" s="30"/>
      <c r="AB112" s="31" t="s">
        <v>58</v>
      </c>
      <c r="AC112" s="36"/>
    </row>
    <row r="113" spans="1:29" x14ac:dyDescent="0.2">
      <c r="A113" s="11" t="s">
        <v>227</v>
      </c>
      <c r="B113" s="11">
        <v>23</v>
      </c>
      <c r="C113" s="12" t="s">
        <v>47</v>
      </c>
      <c r="D113" s="36">
        <v>10</v>
      </c>
      <c r="E113" s="30"/>
      <c r="F113" s="30"/>
      <c r="G113" s="31"/>
      <c r="H113" s="30"/>
      <c r="I113" s="30"/>
      <c r="J113" s="31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1"/>
      <c r="W113" s="36"/>
      <c r="X113" s="30"/>
      <c r="Y113" s="31"/>
      <c r="Z113" s="37" t="s">
        <v>288</v>
      </c>
      <c r="AA113" s="30"/>
      <c r="AB113" s="31" t="s">
        <v>58</v>
      </c>
      <c r="AC113" s="36"/>
    </row>
    <row r="114" spans="1:29" x14ac:dyDescent="0.2">
      <c r="A114" s="11" t="s">
        <v>228</v>
      </c>
      <c r="B114" s="11">
        <v>2</v>
      </c>
      <c r="C114" s="12" t="s">
        <v>48</v>
      </c>
      <c r="D114" s="36">
        <v>2600</v>
      </c>
      <c r="E114" s="36" t="s">
        <v>363</v>
      </c>
      <c r="F114" s="30" t="s">
        <v>54</v>
      </c>
      <c r="G114" s="31" t="s">
        <v>59</v>
      </c>
      <c r="H114" s="30"/>
      <c r="I114" s="30"/>
      <c r="J114" s="31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1"/>
      <c r="W114" s="36" t="s">
        <v>293</v>
      </c>
      <c r="X114" s="30"/>
      <c r="Y114" s="31" t="s">
        <v>58</v>
      </c>
      <c r="Z114" s="39"/>
      <c r="AA114" s="30"/>
      <c r="AB114" s="31"/>
      <c r="AC114" s="36" t="s">
        <v>408</v>
      </c>
    </row>
    <row r="115" spans="1:29" x14ac:dyDescent="0.2">
      <c r="A115" s="11" t="s">
        <v>228</v>
      </c>
      <c r="B115" s="11">
        <v>2</v>
      </c>
      <c r="C115" s="12" t="s">
        <v>48</v>
      </c>
      <c r="D115" s="36">
        <v>2600</v>
      </c>
      <c r="E115" s="36" t="s">
        <v>364</v>
      </c>
      <c r="F115" s="30" t="s">
        <v>54</v>
      </c>
      <c r="G115" s="31" t="s">
        <v>59</v>
      </c>
      <c r="H115" s="30"/>
      <c r="I115" s="30"/>
      <c r="J115" s="31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1"/>
      <c r="W115" s="36"/>
      <c r="X115" s="30"/>
      <c r="Y115" s="31"/>
      <c r="Z115" s="37"/>
      <c r="AA115" s="30"/>
      <c r="AB115" s="31"/>
      <c r="AC115" s="30"/>
    </row>
    <row r="116" spans="1:29" x14ac:dyDescent="0.2">
      <c r="A116" s="11" t="s">
        <v>228</v>
      </c>
      <c r="B116" s="11">
        <v>7</v>
      </c>
      <c r="C116" s="12" t="s">
        <v>47</v>
      </c>
      <c r="D116" s="36">
        <v>2000</v>
      </c>
      <c r="E116" s="36" t="s">
        <v>366</v>
      </c>
      <c r="F116" s="30" t="s">
        <v>54</v>
      </c>
      <c r="G116" s="31" t="s">
        <v>59</v>
      </c>
      <c r="H116" s="30"/>
      <c r="I116" s="30"/>
      <c r="J116" s="31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1"/>
      <c r="W116" s="36" t="s">
        <v>294</v>
      </c>
      <c r="X116" s="30"/>
      <c r="Y116" s="31" t="s">
        <v>58</v>
      </c>
      <c r="Z116" s="39"/>
      <c r="AA116" s="30"/>
      <c r="AB116" s="31"/>
      <c r="AC116" s="30"/>
    </row>
    <row r="117" spans="1:29" x14ac:dyDescent="0.2">
      <c r="A117" s="11" t="s">
        <v>228</v>
      </c>
      <c r="B117" s="11">
        <v>7</v>
      </c>
      <c r="C117" s="12" t="s">
        <v>47</v>
      </c>
      <c r="D117" s="36">
        <v>2000</v>
      </c>
      <c r="E117" s="36" t="s">
        <v>367</v>
      </c>
      <c r="F117" s="30" t="s">
        <v>54</v>
      </c>
      <c r="G117" s="31" t="s">
        <v>59</v>
      </c>
      <c r="H117" s="30"/>
      <c r="I117" s="30"/>
      <c r="J117" s="31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1"/>
      <c r="W117" s="36"/>
      <c r="X117" s="30"/>
      <c r="Y117" s="31"/>
      <c r="Z117" s="37"/>
      <c r="AA117" s="30"/>
      <c r="AB117" s="31"/>
      <c r="AC117" s="30"/>
    </row>
    <row r="118" spans="1:29" x14ac:dyDescent="0.2">
      <c r="A118" s="11" t="s">
        <v>228</v>
      </c>
      <c r="B118" s="11">
        <v>8</v>
      </c>
      <c r="C118" s="12" t="s">
        <v>47</v>
      </c>
      <c r="D118" s="36">
        <v>2000</v>
      </c>
      <c r="E118" s="36"/>
      <c r="F118" s="30"/>
      <c r="G118" s="31"/>
      <c r="H118" s="30"/>
      <c r="I118" s="30"/>
      <c r="J118" s="31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1"/>
      <c r="W118" s="36"/>
      <c r="X118" s="30"/>
      <c r="Y118" s="31"/>
      <c r="Z118" s="37" t="s">
        <v>396</v>
      </c>
      <c r="AA118" s="30"/>
      <c r="AB118" s="31" t="s">
        <v>58</v>
      </c>
      <c r="AC118" s="30"/>
    </row>
    <row r="119" spans="1:29" x14ac:dyDescent="0.2">
      <c r="A119" s="11" t="s">
        <v>228</v>
      </c>
      <c r="B119" s="11">
        <v>10</v>
      </c>
      <c r="C119" s="12" t="s">
        <v>47</v>
      </c>
      <c r="D119" s="36">
        <v>1750</v>
      </c>
      <c r="E119" s="36" t="s">
        <v>368</v>
      </c>
      <c r="F119" s="30" t="s">
        <v>54</v>
      </c>
      <c r="G119" s="31" t="s">
        <v>59</v>
      </c>
      <c r="H119" s="30"/>
      <c r="I119" s="30"/>
      <c r="J119" s="31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1"/>
      <c r="W119" s="36"/>
      <c r="X119" s="30"/>
      <c r="Y119" s="31"/>
      <c r="Z119" s="37"/>
      <c r="AA119" s="30"/>
      <c r="AB119" s="31"/>
      <c r="AC119" s="30"/>
    </row>
    <row r="120" spans="1:29" x14ac:dyDescent="0.2">
      <c r="A120" s="11" t="s">
        <v>228</v>
      </c>
      <c r="B120" s="11">
        <v>10</v>
      </c>
      <c r="C120" s="12" t="s">
        <v>47</v>
      </c>
      <c r="D120" s="36">
        <v>1750</v>
      </c>
      <c r="E120" s="36" t="s">
        <v>369</v>
      </c>
      <c r="F120" s="30" t="s">
        <v>54</v>
      </c>
      <c r="G120" s="31" t="s">
        <v>59</v>
      </c>
      <c r="H120" s="30"/>
      <c r="I120" s="30"/>
      <c r="J120" s="31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1"/>
      <c r="W120" s="36"/>
      <c r="X120" s="30"/>
      <c r="Y120" s="31"/>
      <c r="Z120" s="37"/>
      <c r="AA120" s="30"/>
      <c r="AB120" s="31"/>
      <c r="AC120" s="30"/>
    </row>
    <row r="121" spans="1:29" x14ac:dyDescent="0.2">
      <c r="A121" s="11" t="s">
        <v>228</v>
      </c>
      <c r="B121" s="11">
        <v>12</v>
      </c>
      <c r="C121" s="12" t="s">
        <v>47</v>
      </c>
      <c r="D121" s="36">
        <v>1500</v>
      </c>
      <c r="E121" s="36" t="s">
        <v>370</v>
      </c>
      <c r="F121" s="30" t="s">
        <v>54</v>
      </c>
      <c r="G121" s="31" t="s">
        <v>59</v>
      </c>
      <c r="H121" s="30"/>
      <c r="I121" s="30"/>
      <c r="J121" s="31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1"/>
      <c r="W121" s="36" t="s">
        <v>290</v>
      </c>
      <c r="X121" s="30"/>
      <c r="Y121" s="31" t="s">
        <v>58</v>
      </c>
      <c r="Z121" s="37" t="s">
        <v>275</v>
      </c>
      <c r="AA121" s="30"/>
      <c r="AB121" s="31" t="s">
        <v>58</v>
      </c>
      <c r="AC121" s="30"/>
    </row>
    <row r="122" spans="1:29" x14ac:dyDescent="0.2">
      <c r="A122" s="11" t="s">
        <v>228</v>
      </c>
      <c r="B122" s="11">
        <v>12</v>
      </c>
      <c r="C122" s="12" t="s">
        <v>47</v>
      </c>
      <c r="D122" s="36">
        <v>1500</v>
      </c>
      <c r="E122" s="36" t="s">
        <v>371</v>
      </c>
      <c r="F122" s="30" t="s">
        <v>54</v>
      </c>
      <c r="G122" s="31" t="s">
        <v>59</v>
      </c>
      <c r="H122" s="30"/>
      <c r="I122" s="30"/>
      <c r="J122" s="31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1"/>
      <c r="W122" s="36"/>
      <c r="X122" s="30"/>
      <c r="Y122" s="31"/>
      <c r="Z122" s="37"/>
      <c r="AA122" s="30"/>
      <c r="AB122" s="31"/>
      <c r="AC122" s="30"/>
    </row>
    <row r="123" spans="1:29" x14ac:dyDescent="0.2">
      <c r="A123" s="11" t="s">
        <v>228</v>
      </c>
      <c r="B123" s="11">
        <v>15</v>
      </c>
      <c r="C123" s="12" t="s">
        <v>47</v>
      </c>
      <c r="D123" s="36">
        <v>1000</v>
      </c>
      <c r="E123" s="36" t="s">
        <v>373</v>
      </c>
      <c r="F123" s="30" t="s">
        <v>54</v>
      </c>
      <c r="G123" s="31" t="s">
        <v>59</v>
      </c>
      <c r="H123" s="30"/>
      <c r="I123" s="30"/>
      <c r="J123" s="31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1"/>
      <c r="W123" s="36" t="s">
        <v>289</v>
      </c>
      <c r="X123" s="30"/>
      <c r="Y123" s="31" t="s">
        <v>58</v>
      </c>
      <c r="Z123" s="37"/>
      <c r="AA123" s="30"/>
      <c r="AB123" s="31"/>
      <c r="AC123" s="30"/>
    </row>
    <row r="124" spans="1:29" x14ac:dyDescent="0.2">
      <c r="A124" s="11" t="s">
        <v>228</v>
      </c>
      <c r="B124" s="11">
        <v>15</v>
      </c>
      <c r="C124" s="12" t="s">
        <v>47</v>
      </c>
      <c r="D124" s="36">
        <v>1000</v>
      </c>
      <c r="E124" s="36" t="s">
        <v>374</v>
      </c>
      <c r="F124" s="30" t="s">
        <v>54</v>
      </c>
      <c r="G124" s="31" t="s">
        <v>59</v>
      </c>
      <c r="H124" s="30"/>
      <c r="I124" s="30"/>
      <c r="J124" s="31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1"/>
      <c r="W124" s="36"/>
      <c r="X124" s="30"/>
      <c r="Y124" s="31"/>
      <c r="Z124" s="37"/>
      <c r="AA124" s="30"/>
      <c r="AB124" s="31"/>
      <c r="AC124" s="30"/>
    </row>
    <row r="125" spans="1:29" x14ac:dyDescent="0.2">
      <c r="A125" s="11" t="s">
        <v>228</v>
      </c>
      <c r="B125" s="11">
        <v>16</v>
      </c>
      <c r="C125" s="12" t="s">
        <v>47</v>
      </c>
      <c r="D125" s="36">
        <v>1000</v>
      </c>
      <c r="E125" s="36"/>
      <c r="F125" s="30"/>
      <c r="G125" s="31"/>
      <c r="H125" s="30"/>
      <c r="I125" s="30"/>
      <c r="J125" s="31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1"/>
      <c r="W125" s="36"/>
      <c r="X125" s="30"/>
      <c r="Y125" s="31"/>
      <c r="Z125" s="37" t="s">
        <v>242</v>
      </c>
      <c r="AA125" s="30"/>
      <c r="AB125" s="31" t="s">
        <v>58</v>
      </c>
      <c r="AC125" s="30"/>
    </row>
    <row r="126" spans="1:29" x14ac:dyDescent="0.2">
      <c r="A126" s="11" t="s">
        <v>228</v>
      </c>
      <c r="B126" s="11">
        <v>18</v>
      </c>
      <c r="C126" s="12" t="s">
        <v>47</v>
      </c>
      <c r="D126" s="36">
        <v>500</v>
      </c>
      <c r="E126" s="36" t="s">
        <v>376</v>
      </c>
      <c r="F126" s="30" t="s">
        <v>54</v>
      </c>
      <c r="G126" s="31" t="s">
        <v>59</v>
      </c>
      <c r="H126" s="30"/>
      <c r="I126" s="30"/>
      <c r="J126" s="31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1"/>
      <c r="W126" s="36" t="s">
        <v>295</v>
      </c>
      <c r="X126" s="30"/>
      <c r="Y126" s="31" t="s">
        <v>58</v>
      </c>
      <c r="Z126" s="37" t="s">
        <v>238</v>
      </c>
      <c r="AA126" s="30"/>
      <c r="AB126" s="31" t="s">
        <v>58</v>
      </c>
      <c r="AC126" s="30"/>
    </row>
    <row r="127" spans="1:29" x14ac:dyDescent="0.2">
      <c r="A127" s="11" t="s">
        <v>228</v>
      </c>
      <c r="B127" s="11">
        <v>18</v>
      </c>
      <c r="C127" s="12" t="s">
        <v>47</v>
      </c>
      <c r="D127" s="36">
        <v>500</v>
      </c>
      <c r="E127" s="36" t="s">
        <v>377</v>
      </c>
      <c r="F127" s="30" t="s">
        <v>54</v>
      </c>
      <c r="G127" s="31" t="s">
        <v>59</v>
      </c>
      <c r="H127" s="30"/>
      <c r="I127" s="30"/>
      <c r="J127" s="31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1"/>
      <c r="W127" s="36"/>
      <c r="X127" s="30"/>
      <c r="Y127" s="31"/>
      <c r="Z127" s="37"/>
      <c r="AA127" s="30"/>
      <c r="AB127" s="31"/>
      <c r="AC127" s="30"/>
    </row>
    <row r="128" spans="1:29" x14ac:dyDescent="0.2">
      <c r="A128" s="11" t="s">
        <v>228</v>
      </c>
      <c r="B128" s="11">
        <v>20</v>
      </c>
      <c r="C128" s="12" t="s">
        <v>47</v>
      </c>
      <c r="D128" s="36">
        <v>500</v>
      </c>
      <c r="E128" s="36"/>
      <c r="F128" s="30"/>
      <c r="G128" s="31"/>
      <c r="H128" s="30"/>
      <c r="I128" s="30"/>
      <c r="J128" s="31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1"/>
      <c r="W128" s="36"/>
      <c r="X128" s="30"/>
      <c r="Y128" s="31"/>
      <c r="Z128" s="37" t="s">
        <v>253</v>
      </c>
      <c r="AA128" s="30"/>
      <c r="AB128" s="31" t="s">
        <v>58</v>
      </c>
      <c r="AC128" s="30"/>
    </row>
    <row r="129" spans="1:29" x14ac:dyDescent="0.2">
      <c r="A129" s="11" t="s">
        <v>228</v>
      </c>
      <c r="B129" s="11">
        <v>21</v>
      </c>
      <c r="C129" s="12" t="s">
        <v>47</v>
      </c>
      <c r="D129" s="36">
        <v>300</v>
      </c>
      <c r="E129" s="36" t="s">
        <v>378</v>
      </c>
      <c r="F129" s="30" t="s">
        <v>54</v>
      </c>
      <c r="G129" s="31" t="s">
        <v>59</v>
      </c>
      <c r="H129" s="30"/>
      <c r="I129" s="30"/>
      <c r="J129" s="31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1"/>
      <c r="W129" s="36" t="s">
        <v>296</v>
      </c>
      <c r="X129" s="30"/>
      <c r="Y129" s="31" t="s">
        <v>58</v>
      </c>
      <c r="Z129" s="37"/>
      <c r="AA129" s="30"/>
      <c r="AB129" s="31"/>
      <c r="AC129" s="30"/>
    </row>
    <row r="130" spans="1:29" x14ac:dyDescent="0.2">
      <c r="A130" s="11" t="s">
        <v>228</v>
      </c>
      <c r="B130" s="11">
        <v>21</v>
      </c>
      <c r="C130" s="12" t="s">
        <v>47</v>
      </c>
      <c r="D130" s="36">
        <v>300</v>
      </c>
      <c r="E130" s="36" t="s">
        <v>379</v>
      </c>
      <c r="F130" s="30" t="s">
        <v>54</v>
      </c>
      <c r="G130" s="31" t="s">
        <v>59</v>
      </c>
      <c r="H130" s="30"/>
      <c r="I130" s="30"/>
      <c r="J130" s="31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1"/>
      <c r="W130" s="36"/>
      <c r="X130" s="30"/>
      <c r="Y130" s="31"/>
      <c r="Z130" s="37"/>
      <c r="AA130" s="30"/>
      <c r="AB130" s="31"/>
      <c r="AC130" s="30"/>
    </row>
    <row r="131" spans="1:29" x14ac:dyDescent="0.2">
      <c r="A131" s="11" t="s">
        <v>228</v>
      </c>
      <c r="B131" s="11">
        <v>22</v>
      </c>
      <c r="C131" s="12" t="s">
        <v>47</v>
      </c>
      <c r="D131" s="36">
        <v>300</v>
      </c>
      <c r="E131" s="36"/>
      <c r="F131" s="30"/>
      <c r="G131" s="31"/>
      <c r="H131" s="30"/>
      <c r="I131" s="30"/>
      <c r="J131" s="31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1"/>
      <c r="W131" s="36"/>
      <c r="X131" s="30"/>
      <c r="Y131" s="31"/>
      <c r="Z131" s="37" t="s">
        <v>256</v>
      </c>
      <c r="AA131" s="30"/>
      <c r="AB131" s="31" t="s">
        <v>58</v>
      </c>
      <c r="AC131" s="30"/>
    </row>
    <row r="132" spans="1:29" x14ac:dyDescent="0.2">
      <c r="A132" s="11" t="s">
        <v>228</v>
      </c>
      <c r="B132" s="11">
        <v>24</v>
      </c>
      <c r="C132" s="12" t="s">
        <v>47</v>
      </c>
      <c r="D132" s="36">
        <v>200</v>
      </c>
      <c r="E132" s="36" t="s">
        <v>399</v>
      </c>
      <c r="F132" s="30" t="s">
        <v>54</v>
      </c>
      <c r="G132" s="31" t="s">
        <v>59</v>
      </c>
      <c r="H132" s="30"/>
      <c r="I132" s="30"/>
      <c r="J132" s="31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1"/>
      <c r="W132" s="36" t="s">
        <v>297</v>
      </c>
      <c r="X132" s="30"/>
      <c r="Y132" s="31" t="s">
        <v>58</v>
      </c>
      <c r="Z132" s="37" t="s">
        <v>407</v>
      </c>
      <c r="AA132" s="30"/>
      <c r="AB132" s="31" t="s">
        <v>58</v>
      </c>
      <c r="AC132" s="30"/>
    </row>
    <row r="133" spans="1:29" x14ac:dyDescent="0.2">
      <c r="A133" s="11" t="s">
        <v>228</v>
      </c>
      <c r="B133" s="11">
        <v>24</v>
      </c>
      <c r="C133" s="12" t="s">
        <v>47</v>
      </c>
      <c r="D133" s="36">
        <v>200</v>
      </c>
      <c r="E133" s="36" t="s">
        <v>398</v>
      </c>
      <c r="F133" s="30" t="s">
        <v>54</v>
      </c>
      <c r="G133" s="31" t="s">
        <v>59</v>
      </c>
      <c r="H133" s="30"/>
      <c r="I133" s="30"/>
      <c r="J133" s="31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1"/>
      <c r="W133" s="36"/>
      <c r="X133" s="30"/>
      <c r="Y133" s="31"/>
      <c r="Z133" s="37"/>
      <c r="AA133" s="30"/>
      <c r="AB133" s="31"/>
      <c r="AC133" s="30"/>
    </row>
    <row r="134" spans="1:29" x14ac:dyDescent="0.2">
      <c r="A134" s="11" t="s">
        <v>323</v>
      </c>
      <c r="B134" s="11">
        <v>1</v>
      </c>
      <c r="C134" s="12" t="s">
        <v>47</v>
      </c>
      <c r="D134" s="36">
        <v>220</v>
      </c>
      <c r="E134" s="36"/>
      <c r="F134" s="30"/>
      <c r="G134" s="31"/>
      <c r="H134" s="36" t="s">
        <v>302</v>
      </c>
      <c r="I134" s="30"/>
      <c r="J134" s="31" t="s">
        <v>58</v>
      </c>
      <c r="K134" s="30"/>
      <c r="L134" s="30"/>
      <c r="M134" s="30"/>
      <c r="N134" s="30"/>
      <c r="O134" s="30"/>
      <c r="P134" s="30"/>
      <c r="Q134" s="30"/>
      <c r="R134" s="30"/>
      <c r="S134" s="30"/>
      <c r="T134" s="36" t="s">
        <v>415</v>
      </c>
      <c r="U134" s="30"/>
      <c r="V134" s="31" t="s">
        <v>58</v>
      </c>
      <c r="W134" s="36"/>
      <c r="X134" s="30"/>
      <c r="Y134" s="31"/>
      <c r="Z134" s="37"/>
      <c r="AA134" s="30"/>
      <c r="AB134" s="31"/>
      <c r="AC134" s="30"/>
    </row>
    <row r="135" spans="1:29" x14ac:dyDescent="0.2">
      <c r="A135" s="11" t="s">
        <v>323</v>
      </c>
      <c r="B135" s="11">
        <v>2</v>
      </c>
      <c r="C135" s="12" t="s">
        <v>47</v>
      </c>
      <c r="D135" s="36">
        <v>220</v>
      </c>
      <c r="E135" s="36"/>
      <c r="F135" s="30"/>
      <c r="G135" s="31"/>
      <c r="H135" s="36"/>
      <c r="I135" s="30"/>
      <c r="J135" s="31"/>
      <c r="K135" s="30"/>
      <c r="L135" s="30"/>
      <c r="M135" s="30"/>
      <c r="N135" s="30"/>
      <c r="O135" s="30"/>
      <c r="P135" s="30"/>
      <c r="Q135" s="30"/>
      <c r="R135" s="30"/>
      <c r="S135" s="30"/>
      <c r="T135" s="36"/>
      <c r="U135" s="30"/>
      <c r="V135" s="31"/>
      <c r="W135" s="36"/>
      <c r="X135" s="30"/>
      <c r="Y135" s="31"/>
      <c r="Z135" s="37" t="s">
        <v>233</v>
      </c>
      <c r="AA135" s="30"/>
      <c r="AB135" s="31" t="s">
        <v>58</v>
      </c>
      <c r="AC135" s="30"/>
    </row>
    <row r="136" spans="1:29" x14ac:dyDescent="0.2">
      <c r="A136" s="11" t="s">
        <v>323</v>
      </c>
      <c r="B136" s="11">
        <v>3</v>
      </c>
      <c r="C136" s="12" t="s">
        <v>47</v>
      </c>
      <c r="D136" s="36">
        <v>200</v>
      </c>
      <c r="E136" s="36" t="s">
        <v>400</v>
      </c>
      <c r="F136" s="30" t="s">
        <v>54</v>
      </c>
      <c r="G136" s="31" t="s">
        <v>59</v>
      </c>
      <c r="H136" s="36" t="s">
        <v>303</v>
      </c>
      <c r="I136" s="30"/>
      <c r="J136" s="31" t="s">
        <v>58</v>
      </c>
      <c r="K136" s="30"/>
      <c r="L136" s="30"/>
      <c r="M136" s="30"/>
      <c r="N136" s="30"/>
      <c r="O136" s="30"/>
      <c r="P136" s="30"/>
      <c r="Q136" s="30"/>
      <c r="R136" s="30"/>
      <c r="S136" s="30"/>
      <c r="T136" s="36" t="s">
        <v>416</v>
      </c>
      <c r="U136" s="30"/>
      <c r="V136" s="31" t="s">
        <v>58</v>
      </c>
      <c r="W136" s="36" t="s">
        <v>427</v>
      </c>
      <c r="X136" s="30"/>
      <c r="Y136" s="31" t="s">
        <v>58</v>
      </c>
      <c r="Z136" s="37"/>
      <c r="AA136" s="30"/>
      <c r="AB136" s="31"/>
      <c r="AC136" s="30"/>
    </row>
    <row r="137" spans="1:29" x14ac:dyDescent="0.2">
      <c r="A137" s="11" t="s">
        <v>323</v>
      </c>
      <c r="B137" s="11">
        <v>3</v>
      </c>
      <c r="C137" s="12" t="s">
        <v>47</v>
      </c>
      <c r="D137" s="36">
        <v>200</v>
      </c>
      <c r="E137" s="36" t="s">
        <v>409</v>
      </c>
      <c r="F137" s="30" t="s">
        <v>54</v>
      </c>
      <c r="G137" s="31" t="s">
        <v>59</v>
      </c>
      <c r="H137" s="36"/>
      <c r="I137" s="30"/>
      <c r="J137" s="31"/>
      <c r="K137" s="30"/>
      <c r="L137" s="30"/>
      <c r="M137" s="30"/>
      <c r="N137" s="30"/>
      <c r="O137" s="30"/>
      <c r="P137" s="30"/>
      <c r="Q137" s="30"/>
      <c r="R137" s="30"/>
      <c r="S137" s="30"/>
      <c r="T137" s="36"/>
      <c r="U137" s="30"/>
      <c r="V137" s="31"/>
      <c r="W137" s="36"/>
      <c r="X137" s="30"/>
      <c r="Y137" s="31"/>
      <c r="Z137" s="37"/>
      <c r="AA137" s="30"/>
      <c r="AB137" s="31"/>
      <c r="AC137" s="30"/>
    </row>
    <row r="138" spans="1:29" x14ac:dyDescent="0.2">
      <c r="A138" s="11" t="s">
        <v>323</v>
      </c>
      <c r="B138" s="11">
        <v>5</v>
      </c>
      <c r="C138" s="12" t="s">
        <v>47</v>
      </c>
      <c r="D138" s="36">
        <v>180</v>
      </c>
      <c r="E138" s="36"/>
      <c r="F138" s="30"/>
      <c r="G138" s="31"/>
      <c r="H138" s="36" t="s">
        <v>304</v>
      </c>
      <c r="I138" s="30"/>
      <c r="J138" s="31" t="s">
        <v>58</v>
      </c>
      <c r="K138" s="30"/>
      <c r="L138" s="30"/>
      <c r="M138" s="30"/>
      <c r="N138" s="30"/>
      <c r="O138" s="30"/>
      <c r="P138" s="30"/>
      <c r="Q138" s="30"/>
      <c r="R138" s="30"/>
      <c r="S138" s="30"/>
      <c r="T138" s="36" t="s">
        <v>417</v>
      </c>
      <c r="U138" s="30"/>
      <c r="V138" s="31" t="s">
        <v>58</v>
      </c>
      <c r="W138" s="36"/>
      <c r="X138" s="30"/>
      <c r="Y138" s="31"/>
      <c r="Z138" s="37"/>
      <c r="AA138" s="30"/>
      <c r="AB138" s="31"/>
      <c r="AC138" s="30"/>
    </row>
    <row r="139" spans="1:29" x14ac:dyDescent="0.2">
      <c r="A139" s="11" t="s">
        <v>323</v>
      </c>
      <c r="B139" s="11">
        <v>6</v>
      </c>
      <c r="C139" s="12" t="s">
        <v>47</v>
      </c>
      <c r="D139" s="36">
        <v>180</v>
      </c>
      <c r="E139" s="36"/>
      <c r="F139" s="30"/>
      <c r="G139" s="31"/>
      <c r="H139" s="36"/>
      <c r="I139" s="30"/>
      <c r="J139" s="31"/>
      <c r="K139" s="30"/>
      <c r="L139" s="30"/>
      <c r="M139" s="30"/>
      <c r="N139" s="30"/>
      <c r="O139" s="30"/>
      <c r="P139" s="30"/>
      <c r="Q139" s="30"/>
      <c r="R139" s="30"/>
      <c r="S139" s="30"/>
      <c r="T139" s="36"/>
      <c r="U139" s="30"/>
      <c r="V139" s="31"/>
      <c r="W139" s="36"/>
      <c r="X139" s="30"/>
      <c r="Y139" s="31"/>
      <c r="Z139" s="37" t="s">
        <v>262</v>
      </c>
      <c r="AA139" s="30"/>
      <c r="AB139" s="31" t="s">
        <v>58</v>
      </c>
      <c r="AC139" s="30"/>
    </row>
    <row r="140" spans="1:29" x14ac:dyDescent="0.2">
      <c r="A140" s="11" t="s">
        <v>323</v>
      </c>
      <c r="B140" s="11">
        <v>7</v>
      </c>
      <c r="C140" s="12" t="s">
        <v>47</v>
      </c>
      <c r="D140" s="36">
        <v>160</v>
      </c>
      <c r="E140" s="36" t="s">
        <v>410</v>
      </c>
      <c r="F140" s="30" t="s">
        <v>54</v>
      </c>
      <c r="G140" s="31" t="s">
        <v>59</v>
      </c>
      <c r="H140" s="36" t="s">
        <v>305</v>
      </c>
      <c r="I140" s="30"/>
      <c r="J140" s="31" t="s">
        <v>58</v>
      </c>
      <c r="K140" s="30"/>
      <c r="L140" s="30"/>
      <c r="M140" s="30"/>
      <c r="N140" s="30"/>
      <c r="O140" s="30"/>
      <c r="P140" s="30"/>
      <c r="Q140" s="30"/>
      <c r="R140" s="30"/>
      <c r="S140" s="30"/>
      <c r="T140" s="36" t="s">
        <v>418</v>
      </c>
      <c r="U140" s="30"/>
      <c r="V140" s="31" t="s">
        <v>58</v>
      </c>
      <c r="W140" s="36" t="s">
        <v>428</v>
      </c>
      <c r="X140" s="30"/>
      <c r="Y140" s="31" t="s">
        <v>58</v>
      </c>
      <c r="Z140" s="37"/>
      <c r="AA140" s="30"/>
      <c r="AB140" s="31"/>
      <c r="AC140" s="30"/>
    </row>
    <row r="141" spans="1:29" x14ac:dyDescent="0.2">
      <c r="A141" s="11" t="s">
        <v>323</v>
      </c>
      <c r="B141" s="11">
        <v>7</v>
      </c>
      <c r="C141" s="12" t="s">
        <v>47</v>
      </c>
      <c r="D141" s="36">
        <v>160</v>
      </c>
      <c r="E141" s="36" t="s">
        <v>411</v>
      </c>
      <c r="F141" s="30" t="s">
        <v>54</v>
      </c>
      <c r="G141" s="31" t="s">
        <v>59</v>
      </c>
      <c r="H141" s="36"/>
      <c r="I141" s="30"/>
      <c r="J141" s="31"/>
      <c r="K141" s="30"/>
      <c r="L141" s="30"/>
      <c r="M141" s="30"/>
      <c r="N141" s="30"/>
      <c r="O141" s="30"/>
      <c r="P141" s="30"/>
      <c r="Q141" s="30"/>
      <c r="R141" s="30"/>
      <c r="S141" s="30"/>
      <c r="T141" s="36"/>
      <c r="U141" s="30"/>
      <c r="V141" s="31"/>
      <c r="W141" s="36"/>
      <c r="X141" s="30"/>
      <c r="Y141" s="31"/>
      <c r="Z141" s="37"/>
      <c r="AA141" s="30"/>
      <c r="AB141" s="31"/>
      <c r="AC141" s="30"/>
    </row>
    <row r="142" spans="1:29" x14ac:dyDescent="0.2">
      <c r="A142" s="11" t="s">
        <v>323</v>
      </c>
      <c r="B142" s="11">
        <v>9</v>
      </c>
      <c r="C142" s="12" t="s">
        <v>47</v>
      </c>
      <c r="D142" s="36">
        <v>140</v>
      </c>
      <c r="E142" s="36"/>
      <c r="F142" s="30"/>
      <c r="G142" s="31"/>
      <c r="H142" s="36" t="s">
        <v>308</v>
      </c>
      <c r="I142" s="30"/>
      <c r="J142" s="31" t="s">
        <v>58</v>
      </c>
      <c r="K142" s="30"/>
      <c r="L142" s="30"/>
      <c r="M142" s="30"/>
      <c r="N142" s="30"/>
      <c r="O142" s="30"/>
      <c r="P142" s="30"/>
      <c r="Q142" s="30"/>
      <c r="R142" s="30"/>
      <c r="S142" s="30"/>
      <c r="T142" s="36" t="s">
        <v>419</v>
      </c>
      <c r="U142" s="30"/>
      <c r="V142" s="31" t="s">
        <v>58</v>
      </c>
      <c r="W142" s="36"/>
      <c r="X142" s="30"/>
      <c r="Y142" s="31"/>
      <c r="Z142" s="37"/>
      <c r="AA142" s="30"/>
      <c r="AB142" s="31"/>
      <c r="AC142" s="30"/>
    </row>
    <row r="143" spans="1:29" x14ac:dyDescent="0.2">
      <c r="A143" s="11" t="s">
        <v>323</v>
      </c>
      <c r="B143" s="11">
        <v>10</v>
      </c>
      <c r="C143" s="12" t="s">
        <v>47</v>
      </c>
      <c r="D143" s="36">
        <v>140</v>
      </c>
      <c r="E143" s="36" t="s">
        <v>412</v>
      </c>
      <c r="F143" s="30" t="s">
        <v>54</v>
      </c>
      <c r="G143" s="31" t="s">
        <v>59</v>
      </c>
      <c r="H143" s="36"/>
      <c r="I143" s="30"/>
      <c r="J143" s="31"/>
      <c r="K143" s="30"/>
      <c r="L143" s="30"/>
      <c r="M143" s="30"/>
      <c r="N143" s="30"/>
      <c r="O143" s="30"/>
      <c r="P143" s="30"/>
      <c r="Q143" s="30"/>
      <c r="R143" s="30"/>
      <c r="S143" s="30"/>
      <c r="T143" s="36"/>
      <c r="U143" s="30"/>
      <c r="V143" s="31"/>
      <c r="W143" s="36" t="s">
        <v>429</v>
      </c>
      <c r="X143" s="30"/>
      <c r="Y143" s="31" t="s">
        <v>58</v>
      </c>
      <c r="Z143" s="37" t="s">
        <v>298</v>
      </c>
      <c r="AA143" s="30"/>
      <c r="AB143" s="31" t="s">
        <v>58</v>
      </c>
      <c r="AC143" s="30"/>
    </row>
    <row r="144" spans="1:29" x14ac:dyDescent="0.2">
      <c r="A144" s="11" t="s">
        <v>323</v>
      </c>
      <c r="B144" s="11">
        <v>10</v>
      </c>
      <c r="C144" s="12" t="s">
        <v>47</v>
      </c>
      <c r="D144" s="36">
        <v>140</v>
      </c>
      <c r="E144" s="36" t="s">
        <v>413</v>
      </c>
      <c r="F144" s="30" t="s">
        <v>54</v>
      </c>
      <c r="G144" s="31" t="s">
        <v>59</v>
      </c>
      <c r="H144" s="36"/>
      <c r="I144" s="30"/>
      <c r="J144" s="31"/>
      <c r="K144" s="30"/>
      <c r="L144" s="30"/>
      <c r="M144" s="30"/>
      <c r="N144" s="30"/>
      <c r="O144" s="30"/>
      <c r="P144" s="30"/>
      <c r="Q144" s="30"/>
      <c r="R144" s="30"/>
      <c r="S144" s="30"/>
      <c r="T144" s="36"/>
      <c r="U144" s="30"/>
      <c r="V144" s="31"/>
      <c r="W144" s="40"/>
      <c r="X144" s="30"/>
      <c r="Y144" s="31"/>
      <c r="Z144" s="37"/>
      <c r="AA144" s="30"/>
      <c r="AB144" s="31"/>
      <c r="AC144" s="30"/>
    </row>
    <row r="145" spans="1:29" x14ac:dyDescent="0.2">
      <c r="A145" s="11" t="s">
        <v>323</v>
      </c>
      <c r="B145" s="11">
        <v>11</v>
      </c>
      <c r="C145" s="12" t="s">
        <v>47</v>
      </c>
      <c r="D145" s="36">
        <v>120</v>
      </c>
      <c r="E145" s="36"/>
      <c r="F145" s="30"/>
      <c r="G145" s="31"/>
      <c r="H145" s="36" t="s">
        <v>311</v>
      </c>
      <c r="I145" s="30"/>
      <c r="J145" s="31" t="s">
        <v>58</v>
      </c>
      <c r="K145" s="30"/>
      <c r="L145" s="30"/>
      <c r="M145" s="30"/>
      <c r="N145" s="30"/>
      <c r="O145" s="30"/>
      <c r="P145" s="30"/>
      <c r="Q145" s="30"/>
      <c r="R145" s="30"/>
      <c r="S145" s="30"/>
      <c r="T145" s="36" t="s">
        <v>420</v>
      </c>
      <c r="U145" s="30"/>
      <c r="V145" s="31" t="s">
        <v>58</v>
      </c>
      <c r="W145" s="36"/>
      <c r="X145" s="30"/>
      <c r="Y145" s="31"/>
      <c r="Z145" s="37"/>
      <c r="AA145" s="30"/>
      <c r="AB145" s="31"/>
      <c r="AC145" s="30"/>
    </row>
    <row r="146" spans="1:29" x14ac:dyDescent="0.2">
      <c r="A146" s="11" t="s">
        <v>323</v>
      </c>
      <c r="B146" s="11">
        <v>13</v>
      </c>
      <c r="C146" s="12" t="s">
        <v>47</v>
      </c>
      <c r="D146" s="36">
        <v>100</v>
      </c>
      <c r="E146" s="36" t="s">
        <v>414</v>
      </c>
      <c r="F146" s="30" t="s">
        <v>54</v>
      </c>
      <c r="G146" s="31" t="s">
        <v>59</v>
      </c>
      <c r="H146" s="36" t="s">
        <v>315</v>
      </c>
      <c r="I146" s="30"/>
      <c r="J146" s="31" t="s">
        <v>58</v>
      </c>
      <c r="K146" s="30"/>
      <c r="L146" s="30"/>
      <c r="M146" s="30"/>
      <c r="N146" s="30"/>
      <c r="O146" s="30"/>
      <c r="P146" s="30"/>
      <c r="Q146" s="30"/>
      <c r="R146" s="30"/>
      <c r="S146" s="30"/>
      <c r="T146" s="36" t="s">
        <v>421</v>
      </c>
      <c r="U146" s="30"/>
      <c r="V146" s="31" t="s">
        <v>58</v>
      </c>
      <c r="W146" s="36" t="s">
        <v>430</v>
      </c>
      <c r="X146" s="30"/>
      <c r="Y146" s="31" t="s">
        <v>58</v>
      </c>
      <c r="Z146" s="37"/>
      <c r="AA146" s="30"/>
      <c r="AB146" s="31"/>
      <c r="AC146" s="30"/>
    </row>
    <row r="147" spans="1:29" x14ac:dyDescent="0.2">
      <c r="A147" s="11" t="s">
        <v>323</v>
      </c>
      <c r="B147" s="11">
        <v>13</v>
      </c>
      <c r="C147" s="12" t="s">
        <v>47</v>
      </c>
      <c r="D147" s="36">
        <v>100</v>
      </c>
      <c r="E147" s="36" t="s">
        <v>328</v>
      </c>
      <c r="F147" s="30" t="s">
        <v>54</v>
      </c>
      <c r="G147" s="31" t="s">
        <v>59</v>
      </c>
      <c r="H147" s="36"/>
      <c r="I147" s="30"/>
      <c r="J147" s="31"/>
      <c r="K147" s="30"/>
      <c r="L147" s="30"/>
      <c r="M147" s="30"/>
      <c r="N147" s="30"/>
      <c r="O147" s="30"/>
      <c r="P147" s="30"/>
      <c r="Q147" s="30"/>
      <c r="R147" s="30"/>
      <c r="S147" s="30"/>
      <c r="T147" s="36"/>
      <c r="U147" s="30"/>
      <c r="V147" s="31"/>
      <c r="W147" s="36"/>
      <c r="X147" s="30"/>
      <c r="Y147" s="31"/>
      <c r="Z147" s="37"/>
      <c r="AA147" s="30"/>
      <c r="AB147" s="31"/>
      <c r="AC147" s="30"/>
    </row>
    <row r="148" spans="1:29" x14ac:dyDescent="0.2">
      <c r="A148" s="11" t="s">
        <v>323</v>
      </c>
      <c r="B148" s="11">
        <v>15</v>
      </c>
      <c r="C148" s="12" t="s">
        <v>47</v>
      </c>
      <c r="D148" s="36">
        <v>80</v>
      </c>
      <c r="E148" s="36" t="s">
        <v>329</v>
      </c>
      <c r="F148" s="30" t="s">
        <v>54</v>
      </c>
      <c r="G148" s="31" t="s">
        <v>59</v>
      </c>
      <c r="H148" s="36" t="s">
        <v>310</v>
      </c>
      <c r="I148" s="30"/>
      <c r="J148" s="31" t="s">
        <v>58</v>
      </c>
      <c r="K148" s="30"/>
      <c r="L148" s="30"/>
      <c r="M148" s="30"/>
      <c r="N148" s="30"/>
      <c r="O148" s="30"/>
      <c r="P148" s="30"/>
      <c r="Q148" s="30"/>
      <c r="R148" s="30"/>
      <c r="S148" s="30"/>
      <c r="T148" s="36" t="s">
        <v>422</v>
      </c>
      <c r="U148" s="30"/>
      <c r="V148" s="31" t="s">
        <v>58</v>
      </c>
      <c r="W148" s="36" t="s">
        <v>431</v>
      </c>
      <c r="X148" s="30"/>
      <c r="Y148" s="31" t="s">
        <v>58</v>
      </c>
      <c r="Z148" s="37"/>
      <c r="AA148" s="30"/>
      <c r="AB148" s="31"/>
      <c r="AC148" s="30"/>
    </row>
    <row r="149" spans="1:29" x14ac:dyDescent="0.2">
      <c r="A149" s="11" t="s">
        <v>323</v>
      </c>
      <c r="B149" s="11">
        <v>15</v>
      </c>
      <c r="C149" s="12" t="s">
        <v>47</v>
      </c>
      <c r="D149" s="36">
        <v>80</v>
      </c>
      <c r="E149" s="36" t="s">
        <v>330</v>
      </c>
      <c r="F149" s="30" t="s">
        <v>54</v>
      </c>
      <c r="G149" s="31" t="s">
        <v>59</v>
      </c>
      <c r="H149" s="36"/>
      <c r="I149" s="30"/>
      <c r="J149" s="31"/>
      <c r="K149" s="30"/>
      <c r="L149" s="30"/>
      <c r="M149" s="30"/>
      <c r="N149" s="30"/>
      <c r="O149" s="30"/>
      <c r="P149" s="30"/>
      <c r="Q149" s="30"/>
      <c r="R149" s="30"/>
      <c r="S149" s="30"/>
      <c r="T149" s="36"/>
      <c r="U149" s="30"/>
      <c r="V149" s="30"/>
      <c r="W149" s="36"/>
      <c r="X149" s="30"/>
      <c r="Y149" s="31"/>
      <c r="Z149" s="37"/>
      <c r="AA149" s="30"/>
      <c r="AB149" s="31"/>
      <c r="AC149" s="30"/>
    </row>
    <row r="150" spans="1:29" x14ac:dyDescent="0.2">
      <c r="A150" s="11" t="s">
        <v>323</v>
      </c>
      <c r="B150" s="11">
        <v>16</v>
      </c>
      <c r="C150" s="12" t="s">
        <v>47</v>
      </c>
      <c r="D150" s="36">
        <v>80</v>
      </c>
      <c r="E150" s="36"/>
      <c r="F150" s="30"/>
      <c r="G150" s="30"/>
      <c r="H150" s="36"/>
      <c r="I150" s="30"/>
      <c r="J150" s="31"/>
      <c r="K150" s="30"/>
      <c r="L150" s="30"/>
      <c r="M150" s="30"/>
      <c r="N150" s="30"/>
      <c r="O150" s="30"/>
      <c r="P150" s="30"/>
      <c r="Q150" s="30"/>
      <c r="R150" s="30"/>
      <c r="S150" s="30"/>
      <c r="T150" s="36"/>
      <c r="U150" s="30"/>
      <c r="V150" s="30"/>
      <c r="W150" s="36"/>
      <c r="X150" s="30"/>
      <c r="Y150" s="31"/>
      <c r="Z150" s="37" t="s">
        <v>340</v>
      </c>
      <c r="AA150" s="30"/>
      <c r="AB150" s="31" t="s">
        <v>58</v>
      </c>
      <c r="AC150" s="30"/>
    </row>
    <row r="151" spans="1:29" x14ac:dyDescent="0.2">
      <c r="A151" s="11" t="s">
        <v>323</v>
      </c>
      <c r="B151" s="11">
        <v>17</v>
      </c>
      <c r="C151" s="12" t="s">
        <v>47</v>
      </c>
      <c r="D151" s="36">
        <v>60</v>
      </c>
      <c r="E151" s="36" t="s">
        <v>331</v>
      </c>
      <c r="F151" s="30" t="s">
        <v>54</v>
      </c>
      <c r="G151" s="30" t="s">
        <v>59</v>
      </c>
      <c r="H151" s="36" t="s">
        <v>314</v>
      </c>
      <c r="I151" s="30"/>
      <c r="J151" s="31" t="s">
        <v>58</v>
      </c>
      <c r="K151" s="30"/>
      <c r="L151" s="30"/>
      <c r="M151" s="30"/>
      <c r="N151" s="30"/>
      <c r="O151" s="30"/>
      <c r="P151" s="30"/>
      <c r="Q151" s="30"/>
      <c r="R151" s="30"/>
      <c r="S151" s="30"/>
      <c r="T151" s="36" t="s">
        <v>423</v>
      </c>
      <c r="U151" s="30"/>
      <c r="V151" s="31" t="s">
        <v>58</v>
      </c>
      <c r="W151" s="36" t="s">
        <v>432</v>
      </c>
      <c r="X151" s="30"/>
      <c r="Y151" s="31" t="s">
        <v>58</v>
      </c>
      <c r="Z151" s="37"/>
      <c r="AA151" s="30"/>
      <c r="AB151" s="31"/>
      <c r="AC151" s="30"/>
    </row>
    <row r="152" spans="1:29" x14ac:dyDescent="0.2">
      <c r="A152" s="11" t="s">
        <v>323</v>
      </c>
      <c r="B152" s="11">
        <v>17</v>
      </c>
      <c r="C152" s="12" t="s">
        <v>47</v>
      </c>
      <c r="D152" s="36">
        <v>60</v>
      </c>
      <c r="E152" s="36" t="s">
        <v>333</v>
      </c>
      <c r="F152" s="30" t="s">
        <v>54</v>
      </c>
      <c r="G152" s="30" t="s">
        <v>59</v>
      </c>
      <c r="H152" s="36"/>
      <c r="I152" s="30"/>
      <c r="J152" s="31"/>
      <c r="K152" s="30"/>
      <c r="L152" s="30"/>
      <c r="M152" s="30"/>
      <c r="N152" s="30"/>
      <c r="O152" s="30"/>
      <c r="P152" s="30"/>
      <c r="Q152" s="30"/>
      <c r="R152" s="30"/>
      <c r="S152" s="30"/>
      <c r="T152" s="36"/>
      <c r="U152" s="30"/>
      <c r="V152" s="30"/>
      <c r="W152" s="36"/>
      <c r="X152" s="30"/>
      <c r="Y152" s="31"/>
      <c r="Z152" s="37"/>
      <c r="AA152" s="30"/>
      <c r="AB152" s="31"/>
      <c r="AC152" s="30"/>
    </row>
    <row r="153" spans="1:29" x14ac:dyDescent="0.2">
      <c r="A153" s="11" t="s">
        <v>323</v>
      </c>
      <c r="B153" s="11">
        <v>18</v>
      </c>
      <c r="C153" s="12" t="s">
        <v>47</v>
      </c>
      <c r="D153" s="36">
        <v>60</v>
      </c>
      <c r="E153" s="36"/>
      <c r="F153" s="30"/>
      <c r="G153" s="30"/>
      <c r="H153" s="36"/>
      <c r="I153" s="30"/>
      <c r="J153" s="31"/>
      <c r="K153" s="30"/>
      <c r="L153" s="30"/>
      <c r="M153" s="30"/>
      <c r="N153" s="30"/>
      <c r="O153" s="30"/>
      <c r="P153" s="30"/>
      <c r="Q153" s="30"/>
      <c r="R153" s="30"/>
      <c r="S153" s="30"/>
      <c r="T153" s="36"/>
      <c r="U153" s="30"/>
      <c r="V153" s="30"/>
      <c r="W153" s="36"/>
      <c r="X153" s="30"/>
      <c r="Y153" s="31"/>
      <c r="Z153" s="37" t="s">
        <v>279</v>
      </c>
      <c r="AA153" s="30"/>
      <c r="AB153" s="31" t="s">
        <v>58</v>
      </c>
      <c r="AC153" s="30"/>
    </row>
    <row r="154" spans="1:29" x14ac:dyDescent="0.2">
      <c r="A154" s="11" t="s">
        <v>323</v>
      </c>
      <c r="B154" s="11">
        <v>19</v>
      </c>
      <c r="C154" s="12" t="s">
        <v>47</v>
      </c>
      <c r="D154" s="36">
        <v>40</v>
      </c>
      <c r="E154" s="36"/>
      <c r="F154" s="30"/>
      <c r="G154" s="30"/>
      <c r="H154" s="36" t="s">
        <v>312</v>
      </c>
      <c r="I154" s="30"/>
      <c r="J154" s="31" t="s">
        <v>58</v>
      </c>
      <c r="K154" s="30"/>
      <c r="L154" s="30"/>
      <c r="M154" s="30"/>
      <c r="N154" s="30"/>
      <c r="O154" s="30"/>
      <c r="P154" s="30"/>
      <c r="Q154" s="30"/>
      <c r="R154" s="30"/>
      <c r="S154" s="30"/>
      <c r="T154" s="36" t="s">
        <v>424</v>
      </c>
      <c r="U154" s="30"/>
      <c r="V154" s="31" t="s">
        <v>58</v>
      </c>
      <c r="W154" s="36"/>
      <c r="X154" s="30"/>
      <c r="Y154" s="31"/>
      <c r="Z154" s="37"/>
      <c r="AA154" s="30"/>
      <c r="AB154" s="31"/>
      <c r="AC154" s="30"/>
    </row>
    <row r="155" spans="1:29" x14ac:dyDescent="0.2">
      <c r="A155" s="11" t="s">
        <v>323</v>
      </c>
      <c r="B155" s="11">
        <v>20</v>
      </c>
      <c r="C155" s="12" t="s">
        <v>47</v>
      </c>
      <c r="D155" s="36">
        <v>40</v>
      </c>
      <c r="E155" s="36"/>
      <c r="F155" s="30"/>
      <c r="G155" s="30"/>
      <c r="H155" s="36"/>
      <c r="I155" s="30"/>
      <c r="J155" s="31"/>
      <c r="K155" s="30"/>
      <c r="L155" s="30"/>
      <c r="M155" s="30"/>
      <c r="N155" s="30"/>
      <c r="O155" s="30"/>
      <c r="P155" s="30"/>
      <c r="Q155" s="30"/>
      <c r="R155" s="30"/>
      <c r="S155" s="30"/>
      <c r="T155" s="36"/>
      <c r="U155" s="30"/>
      <c r="V155" s="30"/>
      <c r="W155" s="36"/>
      <c r="X155" s="30"/>
      <c r="Y155" s="31"/>
      <c r="Z155" s="37" t="s">
        <v>247</v>
      </c>
      <c r="AA155" s="30"/>
      <c r="AB155" s="31" t="s">
        <v>58</v>
      </c>
      <c r="AC155" s="30"/>
    </row>
    <row r="156" spans="1:29" x14ac:dyDescent="0.2">
      <c r="A156" s="11" t="s">
        <v>323</v>
      </c>
      <c r="B156" s="11">
        <v>21</v>
      </c>
      <c r="C156" s="12" t="s">
        <v>47</v>
      </c>
      <c r="D156" s="36">
        <v>20</v>
      </c>
      <c r="E156" s="36" t="s">
        <v>381</v>
      </c>
      <c r="F156" s="30" t="s">
        <v>54</v>
      </c>
      <c r="G156" s="30" t="s">
        <v>59</v>
      </c>
      <c r="H156" s="36"/>
      <c r="I156" s="30"/>
      <c r="J156" s="31"/>
      <c r="K156" s="30"/>
      <c r="L156" s="30"/>
      <c r="M156" s="30"/>
      <c r="N156" s="30"/>
      <c r="O156" s="30"/>
      <c r="P156" s="30"/>
      <c r="Q156" s="30"/>
      <c r="R156" s="30"/>
      <c r="S156" s="30"/>
      <c r="T156" s="36"/>
      <c r="U156" s="30"/>
      <c r="V156" s="31"/>
      <c r="W156" s="36" t="s">
        <v>429</v>
      </c>
      <c r="X156" s="30"/>
      <c r="Y156" s="31" t="s">
        <v>58</v>
      </c>
      <c r="Z156" s="37"/>
      <c r="AA156" s="30"/>
      <c r="AB156" s="31"/>
      <c r="AC156" s="30"/>
    </row>
    <row r="157" spans="1:29" x14ac:dyDescent="0.2">
      <c r="A157" s="11" t="s">
        <v>323</v>
      </c>
      <c r="B157" s="11">
        <v>21</v>
      </c>
      <c r="C157" s="12" t="s">
        <v>47</v>
      </c>
      <c r="D157" s="36">
        <v>20</v>
      </c>
      <c r="E157" s="36" t="s">
        <v>337</v>
      </c>
      <c r="F157" s="30" t="s">
        <v>54</v>
      </c>
      <c r="G157" s="30" t="s">
        <v>59</v>
      </c>
      <c r="H157" s="36"/>
      <c r="I157" s="30"/>
      <c r="J157" s="31"/>
      <c r="K157" s="30"/>
      <c r="L157" s="30"/>
      <c r="M157" s="30"/>
      <c r="N157" s="30"/>
      <c r="O157" s="30"/>
      <c r="P157" s="30"/>
      <c r="Q157" s="30"/>
      <c r="R157" s="30"/>
      <c r="S157" s="30"/>
      <c r="T157" s="36"/>
      <c r="U157" s="30"/>
      <c r="V157" s="31"/>
      <c r="W157" s="36"/>
      <c r="X157" s="30"/>
      <c r="Y157" s="31"/>
      <c r="Z157" s="37"/>
      <c r="AA157" s="30"/>
      <c r="AB157" s="31"/>
      <c r="AC157" s="30"/>
    </row>
    <row r="158" spans="1:29" x14ac:dyDescent="0.2">
      <c r="A158" s="11" t="s">
        <v>323</v>
      </c>
      <c r="B158" s="11">
        <v>22</v>
      </c>
      <c r="C158" s="12" t="s">
        <v>47</v>
      </c>
      <c r="D158" s="36">
        <v>20</v>
      </c>
      <c r="E158" s="36"/>
      <c r="F158" s="30"/>
      <c r="G158" s="30"/>
      <c r="H158" s="36" t="s">
        <v>309</v>
      </c>
      <c r="I158" s="30"/>
      <c r="J158" s="31" t="s">
        <v>58</v>
      </c>
      <c r="K158" s="30"/>
      <c r="L158" s="30"/>
      <c r="M158" s="30"/>
      <c r="N158" s="30"/>
      <c r="O158" s="30"/>
      <c r="P158" s="30"/>
      <c r="Q158" s="30"/>
      <c r="R158" s="30"/>
      <c r="S158" s="30"/>
      <c r="T158" s="36" t="s">
        <v>425</v>
      </c>
      <c r="U158" s="30"/>
      <c r="V158" s="31" t="s">
        <v>58</v>
      </c>
      <c r="W158" s="36"/>
      <c r="X158" s="30"/>
      <c r="Y158" s="31"/>
      <c r="Z158" s="37" t="s">
        <v>316</v>
      </c>
      <c r="AA158" s="30"/>
      <c r="AB158" s="31" t="s">
        <v>58</v>
      </c>
      <c r="AC158" s="30"/>
    </row>
    <row r="159" spans="1:29" x14ac:dyDescent="0.2">
      <c r="A159" s="11" t="s">
        <v>323</v>
      </c>
      <c r="B159" s="11">
        <v>23</v>
      </c>
      <c r="C159" s="12" t="s">
        <v>47</v>
      </c>
      <c r="D159" s="36">
        <v>10</v>
      </c>
      <c r="E159" s="36" t="s">
        <v>338</v>
      </c>
      <c r="F159" s="30" t="s">
        <v>54</v>
      </c>
      <c r="G159" s="30" t="s">
        <v>59</v>
      </c>
      <c r="H159" s="36"/>
      <c r="I159" s="30"/>
      <c r="J159" s="31"/>
      <c r="K159" s="30"/>
      <c r="L159" s="30"/>
      <c r="M159" s="30"/>
      <c r="N159" s="30"/>
      <c r="O159" s="30"/>
      <c r="P159" s="30"/>
      <c r="Q159" s="30"/>
      <c r="R159" s="30"/>
      <c r="S159" s="30"/>
      <c r="T159" s="36"/>
      <c r="U159" s="30"/>
      <c r="V159" s="31"/>
      <c r="W159" s="36" t="s">
        <v>433</v>
      </c>
      <c r="X159" s="30"/>
      <c r="Y159" s="31" t="s">
        <v>58</v>
      </c>
      <c r="Z159" s="37"/>
      <c r="AA159" s="30"/>
      <c r="AB159" s="31"/>
      <c r="AC159" s="30"/>
    </row>
    <row r="160" spans="1:29" x14ac:dyDescent="0.2">
      <c r="A160" s="11" t="s">
        <v>323</v>
      </c>
      <c r="B160" s="11">
        <v>23</v>
      </c>
      <c r="C160" s="12" t="s">
        <v>47</v>
      </c>
      <c r="D160" s="36">
        <v>10</v>
      </c>
      <c r="E160" s="36" t="s">
        <v>342</v>
      </c>
      <c r="F160" s="30" t="s">
        <v>54</v>
      </c>
      <c r="G160" s="30" t="s">
        <v>59</v>
      </c>
      <c r="H160" s="36"/>
      <c r="I160" s="30"/>
      <c r="J160" s="31"/>
      <c r="K160" s="30"/>
      <c r="L160" s="30"/>
      <c r="M160" s="30"/>
      <c r="N160" s="30"/>
      <c r="O160" s="30"/>
      <c r="P160" s="30"/>
      <c r="Q160" s="30"/>
      <c r="R160" s="30"/>
      <c r="S160" s="30"/>
      <c r="T160" s="36"/>
      <c r="U160" s="30"/>
      <c r="V160" s="31"/>
      <c r="W160" s="36"/>
      <c r="X160" s="30"/>
      <c r="Y160" s="31"/>
      <c r="Z160" s="37"/>
      <c r="AA160" s="30"/>
      <c r="AB160" s="31"/>
      <c r="AC160" s="30"/>
    </row>
    <row r="161" spans="1:29" x14ac:dyDescent="0.2">
      <c r="A161" s="11" t="s">
        <v>323</v>
      </c>
      <c r="B161" s="11">
        <v>24</v>
      </c>
      <c r="C161" s="12" t="s">
        <v>47</v>
      </c>
      <c r="D161" s="36">
        <v>10</v>
      </c>
      <c r="E161" s="36"/>
      <c r="F161" s="30"/>
      <c r="G161" s="30"/>
      <c r="H161" s="36" t="s">
        <v>313</v>
      </c>
      <c r="I161" s="30"/>
      <c r="J161" s="31" t="s">
        <v>58</v>
      </c>
      <c r="K161" s="30"/>
      <c r="L161" s="30"/>
      <c r="M161" s="30"/>
      <c r="N161" s="30"/>
      <c r="O161" s="30"/>
      <c r="P161" s="30"/>
      <c r="Q161" s="30"/>
      <c r="R161" s="30"/>
      <c r="S161" s="30"/>
      <c r="T161" s="36" t="s">
        <v>426</v>
      </c>
      <c r="U161" s="30"/>
      <c r="V161" s="31" t="s">
        <v>58</v>
      </c>
      <c r="W161" s="36"/>
      <c r="X161" s="30"/>
      <c r="Y161" s="31"/>
      <c r="Z161" s="37" t="s">
        <v>244</v>
      </c>
      <c r="AA161" s="30"/>
      <c r="AB161" s="31" t="s">
        <v>58</v>
      </c>
      <c r="AC161" s="30"/>
    </row>
    <row r="162" spans="1:29" x14ac:dyDescent="0.2">
      <c r="A162" s="11" t="s">
        <v>324</v>
      </c>
      <c r="B162" s="11" t="s">
        <v>94</v>
      </c>
      <c r="C162" s="12" t="s">
        <v>47</v>
      </c>
      <c r="D162" s="20">
        <v>154</v>
      </c>
      <c r="G162" s="20"/>
      <c r="I162" s="20"/>
      <c r="J162" s="12"/>
      <c r="L162" s="20"/>
      <c r="M162" s="20"/>
      <c r="O162" s="20"/>
      <c r="P162" s="20"/>
      <c r="R162" s="20"/>
      <c r="S162" s="20"/>
      <c r="U162" s="20"/>
      <c r="V162" s="12"/>
      <c r="W162" s="20" t="s">
        <v>434</v>
      </c>
      <c r="X162" s="20"/>
      <c r="Y162" s="32" t="s">
        <v>58</v>
      </c>
      <c r="AB162" s="12"/>
    </row>
    <row r="163" spans="1:29" x14ac:dyDescent="0.2">
      <c r="A163" s="11" t="s">
        <v>325</v>
      </c>
      <c r="B163" s="11" t="s">
        <v>94</v>
      </c>
      <c r="C163" s="12" t="s">
        <v>47</v>
      </c>
      <c r="D163" s="20">
        <v>1515</v>
      </c>
      <c r="G163" s="20"/>
      <c r="I163" s="20"/>
      <c r="J163" s="12"/>
      <c r="L163" s="20"/>
      <c r="M163" s="20"/>
      <c r="O163" s="20"/>
      <c r="P163" s="20"/>
      <c r="R163" s="20"/>
      <c r="S163" s="20"/>
      <c r="U163" s="20"/>
      <c r="V163" s="12"/>
      <c r="W163" s="20" t="s">
        <v>435</v>
      </c>
      <c r="X163" s="20"/>
      <c r="Y163" s="32" t="s">
        <v>58</v>
      </c>
      <c r="AB163" s="12"/>
    </row>
    <row r="164" spans="1:29" x14ac:dyDescent="0.2">
      <c r="A164" s="11" t="s">
        <v>326</v>
      </c>
      <c r="B164" s="11" t="s">
        <v>94</v>
      </c>
      <c r="C164" s="12" t="s">
        <v>47</v>
      </c>
      <c r="D164" s="20">
        <v>1530</v>
      </c>
      <c r="G164" s="20"/>
      <c r="I164" s="20"/>
      <c r="J164" s="20"/>
      <c r="L164" s="20"/>
      <c r="M164" s="20"/>
      <c r="O164" s="20"/>
      <c r="P164" s="20"/>
      <c r="R164" s="20"/>
      <c r="S164" s="20"/>
      <c r="U164" s="20"/>
      <c r="V164" s="12"/>
      <c r="W164" s="20" t="s">
        <v>306</v>
      </c>
      <c r="X164" s="20"/>
      <c r="Y164" s="32" t="s">
        <v>58</v>
      </c>
      <c r="AB164" s="12"/>
    </row>
    <row r="165" spans="1:29" x14ac:dyDescent="0.2">
      <c r="A165" s="11" t="s">
        <v>327</v>
      </c>
      <c r="B165" s="11" t="s">
        <v>93</v>
      </c>
      <c r="C165" s="12" t="s">
        <v>47</v>
      </c>
      <c r="D165" s="20">
        <v>200</v>
      </c>
      <c r="G165" s="20"/>
      <c r="I165" s="20"/>
      <c r="J165" s="12"/>
      <c r="L165" s="20"/>
      <c r="M165" s="20"/>
      <c r="O165" s="20"/>
      <c r="P165" s="20"/>
      <c r="R165" s="20"/>
      <c r="S165" s="20"/>
      <c r="U165" s="20"/>
      <c r="V165" s="12"/>
      <c r="W165" s="20" t="s">
        <v>307</v>
      </c>
      <c r="X165" s="20"/>
      <c r="Y165" s="32" t="s">
        <v>58</v>
      </c>
      <c r="AB165" s="12"/>
    </row>
    <row r="166" spans="1:29" x14ac:dyDescent="0.2">
      <c r="C166" s="12"/>
      <c r="G166" s="20"/>
      <c r="I166" s="20"/>
      <c r="J166" s="20"/>
      <c r="L166" s="20"/>
      <c r="M166" s="20"/>
      <c r="O166" s="20"/>
      <c r="P166" s="20"/>
      <c r="R166" s="20"/>
      <c r="S166" s="20"/>
      <c r="U166" s="20"/>
      <c r="V166" s="12"/>
      <c r="X166" s="20"/>
      <c r="Y166" s="32"/>
      <c r="Z166" s="34"/>
      <c r="AB166" s="12"/>
    </row>
    <row r="167" spans="1:29" x14ac:dyDescent="0.2">
      <c r="C167" s="12"/>
      <c r="G167" s="20"/>
      <c r="I167" s="20"/>
      <c r="J167" s="12"/>
      <c r="L167" s="20"/>
      <c r="M167" s="20"/>
      <c r="O167" s="20"/>
      <c r="P167" s="20"/>
      <c r="R167" s="20"/>
      <c r="S167" s="20"/>
      <c r="U167" s="20"/>
      <c r="V167" s="12"/>
      <c r="X167" s="20"/>
      <c r="Y167" s="32"/>
      <c r="Z167" s="34"/>
      <c r="AB167" s="12"/>
    </row>
    <row r="168" spans="1:29" x14ac:dyDescent="0.2">
      <c r="C168" s="12"/>
      <c r="G168" s="20"/>
      <c r="I168" s="20"/>
      <c r="J168" s="20"/>
      <c r="L168" s="20"/>
      <c r="M168" s="20"/>
      <c r="O168" s="20"/>
      <c r="P168" s="20"/>
      <c r="R168" s="20"/>
      <c r="S168" s="20"/>
      <c r="U168" s="20"/>
      <c r="V168" s="12"/>
      <c r="X168" s="20"/>
      <c r="Y168" s="32"/>
      <c r="Z168" s="34"/>
      <c r="AB168" s="12"/>
    </row>
    <row r="169" spans="1:29" x14ac:dyDescent="0.2">
      <c r="C169" s="12"/>
      <c r="G169" s="20"/>
      <c r="I169" s="20"/>
      <c r="J169" s="20"/>
      <c r="L169" s="20"/>
      <c r="M169" s="20"/>
      <c r="O169" s="20"/>
      <c r="P169" s="20"/>
      <c r="R169" s="20"/>
      <c r="S169" s="20"/>
      <c r="U169" s="20"/>
      <c r="V169" s="12"/>
      <c r="X169" s="20"/>
      <c r="Y169" s="32"/>
      <c r="Z169" s="34"/>
      <c r="AB169" s="12"/>
    </row>
    <row r="170" spans="1:29" x14ac:dyDescent="0.2">
      <c r="C170" s="12"/>
      <c r="G170" s="20"/>
      <c r="I170" s="20"/>
      <c r="J170" s="12"/>
      <c r="L170" s="20"/>
      <c r="M170" s="20"/>
      <c r="O170" s="20"/>
      <c r="P170" s="20"/>
      <c r="R170" s="20"/>
      <c r="S170" s="20"/>
      <c r="U170" s="20"/>
      <c r="V170" s="12"/>
      <c r="X170" s="20"/>
      <c r="Y170" s="32"/>
      <c r="Z170" s="34"/>
      <c r="AB170" s="12"/>
    </row>
    <row r="171" spans="1:29" x14ac:dyDescent="0.2">
      <c r="C171" s="12"/>
      <c r="G171" s="20"/>
      <c r="I171" s="20"/>
      <c r="J171" s="12"/>
      <c r="L171" s="20"/>
      <c r="M171" s="20"/>
      <c r="O171" s="20"/>
      <c r="P171" s="20"/>
      <c r="R171" s="20"/>
      <c r="S171" s="20"/>
      <c r="U171" s="20"/>
      <c r="V171" s="12"/>
      <c r="X171" s="20"/>
      <c r="Y171" s="32"/>
      <c r="Z171" s="34"/>
      <c r="AB171" s="12"/>
    </row>
    <row r="172" spans="1:29" x14ac:dyDescent="0.2">
      <c r="C172" s="12"/>
      <c r="G172" s="20"/>
      <c r="I172" s="20"/>
      <c r="J172" s="20"/>
      <c r="L172" s="20"/>
      <c r="M172" s="20"/>
      <c r="O172" s="20"/>
      <c r="P172" s="20"/>
      <c r="R172" s="20"/>
      <c r="S172" s="20"/>
      <c r="U172" s="20"/>
      <c r="V172" s="12"/>
      <c r="X172" s="20"/>
      <c r="Y172" s="32"/>
      <c r="Z172" s="34"/>
      <c r="AB172" s="12"/>
    </row>
    <row r="173" spans="1:29" x14ac:dyDescent="0.2">
      <c r="C173" s="12"/>
      <c r="G173" s="20"/>
      <c r="I173" s="20"/>
      <c r="J173" s="12"/>
      <c r="L173" s="20"/>
      <c r="M173" s="20"/>
      <c r="O173" s="20"/>
      <c r="P173" s="20"/>
      <c r="R173" s="20"/>
      <c r="S173" s="20"/>
      <c r="U173" s="20"/>
      <c r="V173" s="12"/>
      <c r="X173" s="20"/>
      <c r="Y173" s="32"/>
      <c r="Z173" s="34"/>
      <c r="AB173" s="12"/>
    </row>
    <row r="174" spans="1:29" x14ac:dyDescent="0.2">
      <c r="C174" s="12"/>
      <c r="G174" s="20"/>
      <c r="I174" s="20"/>
      <c r="J174" s="20"/>
      <c r="L174" s="20"/>
      <c r="M174" s="20"/>
      <c r="O174" s="20"/>
      <c r="P174" s="20"/>
      <c r="R174" s="20"/>
      <c r="S174" s="20"/>
      <c r="U174" s="20"/>
      <c r="V174" s="12"/>
      <c r="X174" s="20"/>
      <c r="Y174" s="32"/>
      <c r="Z174" s="34"/>
      <c r="AB174" s="12"/>
    </row>
    <row r="175" spans="1:29" x14ac:dyDescent="0.2">
      <c r="C175" s="12"/>
      <c r="G175" s="20"/>
      <c r="I175" s="20"/>
      <c r="J175" s="20"/>
      <c r="L175" s="20"/>
      <c r="M175" s="20"/>
      <c r="O175" s="20"/>
      <c r="P175" s="20"/>
      <c r="R175" s="20"/>
      <c r="S175" s="20"/>
      <c r="U175" s="20"/>
      <c r="V175" s="12"/>
      <c r="X175" s="20"/>
      <c r="Y175" s="32"/>
      <c r="Z175" s="34"/>
      <c r="AB175" s="12"/>
    </row>
    <row r="176" spans="1:29" x14ac:dyDescent="0.2">
      <c r="C176" s="12"/>
      <c r="G176" s="20"/>
      <c r="I176" s="20"/>
      <c r="J176" s="12"/>
      <c r="L176" s="20"/>
      <c r="M176" s="20"/>
      <c r="O176" s="20"/>
      <c r="P176" s="20"/>
      <c r="R176" s="20"/>
      <c r="S176" s="20"/>
      <c r="U176" s="20"/>
      <c r="V176" s="12"/>
      <c r="X176" s="20"/>
      <c r="Y176" s="32"/>
      <c r="Z176" s="34"/>
      <c r="AB176" s="12"/>
    </row>
    <row r="177" spans="3:28" x14ac:dyDescent="0.2">
      <c r="C177" s="12"/>
      <c r="G177" s="20"/>
      <c r="I177" s="20"/>
      <c r="J177" s="20"/>
      <c r="L177" s="20"/>
      <c r="M177" s="20"/>
      <c r="O177" s="20"/>
      <c r="P177" s="20"/>
      <c r="R177" s="20"/>
      <c r="S177" s="20"/>
      <c r="U177" s="20"/>
      <c r="V177" s="12"/>
      <c r="X177" s="20"/>
      <c r="Y177" s="32"/>
      <c r="Z177" s="34"/>
      <c r="AB177" s="12"/>
    </row>
    <row r="178" spans="3:28" x14ac:dyDescent="0.2">
      <c r="C178" s="12"/>
      <c r="G178" s="20"/>
      <c r="I178" s="20"/>
      <c r="J178" s="20"/>
      <c r="L178" s="20"/>
      <c r="M178" s="20"/>
      <c r="O178" s="20"/>
      <c r="P178" s="20"/>
      <c r="R178" s="20"/>
      <c r="S178" s="20"/>
      <c r="U178" s="20"/>
      <c r="V178" s="12"/>
      <c r="X178" s="20"/>
      <c r="Y178" s="32"/>
      <c r="Z178" s="34"/>
      <c r="AB178" s="12"/>
    </row>
    <row r="179" spans="3:28" x14ac:dyDescent="0.2">
      <c r="C179" s="12"/>
      <c r="G179" s="20"/>
      <c r="I179" s="20"/>
      <c r="J179" s="12"/>
      <c r="L179" s="20"/>
      <c r="M179" s="20"/>
      <c r="O179" s="20"/>
      <c r="P179" s="20"/>
      <c r="R179" s="20"/>
      <c r="S179" s="20"/>
      <c r="U179" s="20"/>
      <c r="V179" s="12"/>
      <c r="X179" s="20"/>
      <c r="Y179" s="32"/>
      <c r="Z179" s="34"/>
      <c r="AB179" s="12"/>
    </row>
    <row r="180" spans="3:28" x14ac:dyDescent="0.2">
      <c r="C180" s="12"/>
      <c r="G180" s="20"/>
      <c r="I180" s="20"/>
      <c r="J180" s="20"/>
      <c r="L180" s="20"/>
      <c r="M180" s="20"/>
      <c r="O180" s="20"/>
      <c r="P180" s="20"/>
      <c r="R180" s="20"/>
      <c r="S180" s="20"/>
      <c r="U180" s="20"/>
      <c r="V180" s="12"/>
      <c r="X180" s="20"/>
      <c r="Y180" s="32"/>
      <c r="Z180" s="34"/>
      <c r="AB180" s="12"/>
    </row>
    <row r="181" spans="3:28" x14ac:dyDescent="0.2">
      <c r="C181" s="12"/>
      <c r="G181" s="20"/>
      <c r="I181" s="20"/>
      <c r="J181" s="20"/>
      <c r="L181" s="20"/>
      <c r="M181" s="20"/>
      <c r="O181" s="20"/>
      <c r="P181" s="20"/>
      <c r="R181" s="20"/>
      <c r="S181" s="20"/>
      <c r="U181" s="20"/>
      <c r="V181" s="12"/>
      <c r="X181" s="20"/>
      <c r="Y181" s="32"/>
      <c r="Z181" s="34"/>
      <c r="AB181" s="12"/>
    </row>
    <row r="182" spans="3:28" x14ac:dyDescent="0.2">
      <c r="C182" s="12"/>
      <c r="G182" s="20"/>
      <c r="I182" s="20"/>
      <c r="J182" s="12"/>
      <c r="L182" s="20"/>
      <c r="M182" s="20"/>
      <c r="O182" s="20"/>
      <c r="P182" s="20"/>
      <c r="R182" s="20"/>
      <c r="S182" s="20"/>
      <c r="U182" s="20"/>
      <c r="V182" s="12"/>
      <c r="X182" s="20"/>
      <c r="Y182" s="32"/>
      <c r="Z182" s="34"/>
      <c r="AB182" s="12"/>
    </row>
    <row r="183" spans="3:28" x14ac:dyDescent="0.2">
      <c r="C183" s="12"/>
      <c r="G183" s="20"/>
      <c r="I183" s="20"/>
      <c r="J183" s="20"/>
      <c r="L183" s="20"/>
      <c r="M183" s="20"/>
      <c r="O183" s="20"/>
      <c r="P183" s="20"/>
      <c r="R183" s="20"/>
      <c r="S183" s="20"/>
      <c r="U183" s="20"/>
      <c r="V183" s="12"/>
      <c r="X183" s="20"/>
      <c r="Y183" s="32"/>
      <c r="Z183" s="34"/>
      <c r="AB183" s="12"/>
    </row>
    <row r="184" spans="3:28" x14ac:dyDescent="0.2">
      <c r="C184" s="12"/>
      <c r="G184" s="20"/>
      <c r="I184" s="20"/>
      <c r="J184" s="12"/>
      <c r="L184" s="20"/>
      <c r="M184" s="20"/>
      <c r="O184" s="20"/>
      <c r="P184" s="20"/>
      <c r="R184" s="20"/>
      <c r="S184" s="20"/>
      <c r="U184" s="20"/>
      <c r="V184" s="12"/>
      <c r="X184" s="20"/>
      <c r="Y184" s="32"/>
      <c r="Z184" s="34"/>
      <c r="AB184" s="12"/>
    </row>
    <row r="185" spans="3:28" x14ac:dyDescent="0.2">
      <c r="C185" s="12"/>
      <c r="G185" s="20"/>
      <c r="I185" s="20"/>
      <c r="J185" s="20"/>
      <c r="L185" s="20"/>
      <c r="M185" s="20"/>
      <c r="O185" s="20"/>
      <c r="P185" s="20"/>
      <c r="R185" s="20"/>
      <c r="S185" s="20"/>
      <c r="U185" s="20"/>
      <c r="V185" s="12"/>
      <c r="X185" s="20"/>
      <c r="Y185" s="32"/>
      <c r="Z185" s="34"/>
      <c r="AB185" s="12"/>
    </row>
    <row r="186" spans="3:28" x14ac:dyDescent="0.2">
      <c r="C186" s="12"/>
      <c r="G186" s="20"/>
      <c r="I186" s="20"/>
      <c r="J186" s="20"/>
      <c r="L186" s="20"/>
      <c r="M186" s="20"/>
      <c r="O186" s="20"/>
      <c r="P186" s="20"/>
      <c r="R186" s="20"/>
      <c r="S186" s="20"/>
      <c r="U186" s="20"/>
      <c r="V186" s="12"/>
      <c r="X186" s="20"/>
      <c r="Y186" s="32"/>
      <c r="Z186" s="34"/>
      <c r="AB186" s="12"/>
    </row>
    <row r="187" spans="3:28" x14ac:dyDescent="0.2">
      <c r="C187" s="12"/>
      <c r="G187" s="20"/>
      <c r="I187" s="20"/>
      <c r="J187" s="12"/>
      <c r="L187" s="20"/>
      <c r="M187" s="20"/>
      <c r="O187" s="20"/>
      <c r="P187" s="20"/>
      <c r="R187" s="20"/>
      <c r="S187" s="20"/>
      <c r="U187" s="20"/>
      <c r="V187" s="12"/>
      <c r="X187" s="20"/>
      <c r="Y187" s="32"/>
      <c r="AB187" s="12"/>
    </row>
    <row r="188" spans="3:28" x14ac:dyDescent="0.2">
      <c r="C188" s="12"/>
      <c r="G188" s="20"/>
      <c r="I188" s="20"/>
      <c r="J188" s="20"/>
      <c r="L188" s="20"/>
      <c r="M188" s="20"/>
      <c r="O188" s="20"/>
      <c r="P188" s="20"/>
      <c r="R188" s="20"/>
      <c r="S188" s="20"/>
      <c r="U188" s="20"/>
      <c r="V188" s="20"/>
      <c r="X188" s="20"/>
      <c r="Y188" s="32"/>
      <c r="AB188" s="12"/>
    </row>
    <row r="189" spans="3:28" x14ac:dyDescent="0.2">
      <c r="C189" s="12"/>
      <c r="G189" s="20"/>
      <c r="I189" s="20"/>
      <c r="J189" s="20"/>
      <c r="L189" s="20"/>
      <c r="M189" s="20"/>
      <c r="O189" s="20"/>
      <c r="P189" s="20"/>
      <c r="R189" s="20"/>
      <c r="S189" s="20"/>
      <c r="U189" s="20"/>
      <c r="V189" s="20"/>
      <c r="X189" s="20"/>
      <c r="Y189" s="32"/>
      <c r="Z189" s="34"/>
      <c r="AB189" s="12"/>
    </row>
    <row r="190" spans="3:28" x14ac:dyDescent="0.2">
      <c r="C190" s="12"/>
      <c r="G190" s="20"/>
      <c r="I190" s="20"/>
      <c r="J190" s="20"/>
      <c r="L190" s="20"/>
      <c r="M190" s="20"/>
      <c r="O190" s="20"/>
      <c r="P190" s="20"/>
      <c r="R190" s="20"/>
      <c r="S190" s="20"/>
      <c r="U190" s="20"/>
      <c r="V190" s="20"/>
      <c r="X190" s="20"/>
      <c r="Y190" s="32"/>
      <c r="AB190" s="12"/>
    </row>
    <row r="191" spans="3:28" x14ac:dyDescent="0.2">
      <c r="C191" s="12"/>
      <c r="G191" s="20"/>
      <c r="I191" s="20"/>
      <c r="J191" s="20"/>
      <c r="L191" s="20"/>
      <c r="M191" s="20"/>
      <c r="O191" s="20"/>
      <c r="P191" s="20"/>
      <c r="R191" s="20"/>
      <c r="S191" s="20"/>
      <c r="U191" s="20"/>
      <c r="V191" s="20"/>
      <c r="X191" s="20"/>
      <c r="Y191" s="32"/>
      <c r="AB191" s="12"/>
    </row>
    <row r="192" spans="3:28" x14ac:dyDescent="0.2">
      <c r="C192" s="12"/>
      <c r="G192" s="20"/>
      <c r="I192" s="20"/>
      <c r="J192" s="12"/>
      <c r="L192" s="20"/>
      <c r="M192" s="20"/>
      <c r="O192" s="20"/>
      <c r="P192" s="20"/>
      <c r="R192" s="20"/>
      <c r="S192" s="20"/>
      <c r="U192" s="20"/>
      <c r="V192" s="20"/>
      <c r="X192" s="20"/>
      <c r="Y192" s="32"/>
      <c r="Z192" s="34"/>
      <c r="AB192" s="12"/>
    </row>
    <row r="193" spans="3:28" x14ac:dyDescent="0.2">
      <c r="C193" s="12"/>
      <c r="G193" s="20"/>
      <c r="I193" s="20"/>
      <c r="J193" s="20"/>
      <c r="L193" s="20"/>
      <c r="M193" s="20"/>
      <c r="O193" s="20"/>
      <c r="P193" s="20"/>
      <c r="R193" s="20"/>
      <c r="S193" s="20"/>
      <c r="U193" s="20"/>
      <c r="V193" s="20"/>
      <c r="X193" s="20"/>
      <c r="Y193" s="32"/>
      <c r="AB193" s="12"/>
    </row>
    <row r="194" spans="3:28" x14ac:dyDescent="0.2">
      <c r="C194" s="12"/>
      <c r="G194" s="20"/>
      <c r="I194" s="20"/>
      <c r="J194" s="20"/>
      <c r="L194" s="20"/>
      <c r="M194" s="20"/>
      <c r="O194" s="20"/>
      <c r="P194" s="20"/>
      <c r="R194" s="20"/>
      <c r="S194" s="20"/>
      <c r="U194" s="20"/>
      <c r="V194" s="20"/>
      <c r="X194" s="20"/>
      <c r="Y194" s="32"/>
      <c r="AB194" s="12"/>
    </row>
    <row r="195" spans="3:28" x14ac:dyDescent="0.2">
      <c r="C195" s="12"/>
      <c r="G195" s="20"/>
      <c r="I195" s="20"/>
      <c r="J195" s="12"/>
      <c r="L195" s="20"/>
      <c r="M195" s="20"/>
      <c r="O195" s="20"/>
      <c r="P195" s="20"/>
      <c r="R195" s="20"/>
      <c r="S195" s="20"/>
      <c r="U195" s="20"/>
      <c r="V195" s="20"/>
      <c r="X195" s="20"/>
      <c r="Y195" s="32"/>
      <c r="Z195" s="34"/>
      <c r="AB195" s="12"/>
    </row>
    <row r="196" spans="3:28" x14ac:dyDescent="0.2">
      <c r="C196" s="12"/>
      <c r="F196" s="20"/>
      <c r="G196" s="20"/>
      <c r="I196" s="20"/>
      <c r="J196" s="20"/>
      <c r="L196" s="20"/>
      <c r="M196" s="20"/>
      <c r="O196" s="20"/>
      <c r="P196" s="20"/>
      <c r="R196" s="20"/>
      <c r="S196" s="20"/>
      <c r="U196" s="20"/>
      <c r="V196" s="20"/>
      <c r="X196" s="20"/>
      <c r="Y196" s="20"/>
    </row>
    <row r="197" spans="3:28" x14ac:dyDescent="0.2">
      <c r="C197" s="12"/>
      <c r="F197" s="20"/>
      <c r="G197" s="20"/>
      <c r="I197" s="20"/>
      <c r="J197" s="20"/>
      <c r="L197" s="20"/>
      <c r="M197" s="20"/>
      <c r="O197" s="20"/>
      <c r="P197" s="20"/>
      <c r="R197" s="20"/>
      <c r="S197" s="20"/>
      <c r="U197" s="20"/>
      <c r="V197" s="20"/>
      <c r="X197" s="20"/>
      <c r="Y197" s="20"/>
    </row>
    <row r="198" spans="3:28" x14ac:dyDescent="0.2">
      <c r="C198" s="12"/>
      <c r="F198" s="20"/>
      <c r="G198" s="20"/>
      <c r="I198" s="20"/>
      <c r="J198" s="20"/>
      <c r="L198" s="20"/>
      <c r="M198" s="20"/>
      <c r="O198" s="20"/>
      <c r="P198" s="20"/>
      <c r="R198" s="20"/>
      <c r="S198" s="20"/>
      <c r="U198" s="20"/>
      <c r="V198" s="20"/>
      <c r="X198" s="20"/>
      <c r="Y198" s="20"/>
    </row>
    <row r="199" spans="3:28" x14ac:dyDescent="0.2">
      <c r="C199" s="12"/>
      <c r="F199" s="20"/>
      <c r="G199" s="20"/>
      <c r="I199" s="20"/>
      <c r="J199" s="20"/>
      <c r="L199" s="20"/>
      <c r="M199" s="20"/>
      <c r="O199" s="20"/>
      <c r="P199" s="20"/>
      <c r="R199" s="20"/>
      <c r="S199" s="20"/>
      <c r="U199" s="20"/>
      <c r="V199" s="20"/>
      <c r="X199" s="20"/>
      <c r="Y199" s="20"/>
    </row>
    <row r="200" spans="3:28" x14ac:dyDescent="0.2">
      <c r="C200" s="12"/>
      <c r="F200" s="20"/>
      <c r="G200" s="20"/>
      <c r="I200" s="20"/>
      <c r="J200" s="20"/>
      <c r="L200" s="20"/>
      <c r="M200" s="20"/>
      <c r="O200" s="20"/>
      <c r="P200" s="20"/>
      <c r="R200" s="20"/>
      <c r="S200" s="20"/>
      <c r="U200" s="20"/>
      <c r="V200" s="20"/>
      <c r="X200" s="20"/>
      <c r="Y200" s="20"/>
    </row>
    <row r="201" spans="3:28" x14ac:dyDescent="0.2">
      <c r="C201" s="12"/>
      <c r="F201" s="20"/>
      <c r="G201" s="20"/>
      <c r="I201" s="20"/>
      <c r="J201" s="20"/>
      <c r="L201" s="20"/>
      <c r="M201" s="20"/>
      <c r="O201" s="20"/>
      <c r="P201" s="20"/>
      <c r="R201" s="20"/>
      <c r="S201" s="20"/>
      <c r="U201" s="20"/>
      <c r="V201" s="20"/>
      <c r="X201" s="20"/>
      <c r="Y201" s="20"/>
    </row>
    <row r="202" spans="3:28" x14ac:dyDescent="0.2">
      <c r="C202" s="12"/>
      <c r="F202" s="20"/>
      <c r="G202" s="20"/>
      <c r="I202" s="20"/>
      <c r="J202" s="20"/>
      <c r="L202" s="20"/>
      <c r="M202" s="20"/>
      <c r="O202" s="20"/>
      <c r="P202" s="20"/>
      <c r="R202" s="20"/>
      <c r="S202" s="20"/>
      <c r="U202" s="20"/>
      <c r="V202" s="20"/>
      <c r="X202" s="20"/>
      <c r="Y202" s="20"/>
    </row>
    <row r="203" spans="3:28" x14ac:dyDescent="0.2">
      <c r="C203" s="12"/>
      <c r="F203" s="20"/>
      <c r="G203" s="20"/>
      <c r="I203" s="20"/>
      <c r="J203" s="20"/>
      <c r="L203" s="20"/>
      <c r="M203" s="20"/>
      <c r="O203" s="20"/>
      <c r="P203" s="20"/>
      <c r="R203" s="20"/>
      <c r="S203" s="20"/>
      <c r="U203" s="20"/>
      <c r="V203" s="20"/>
      <c r="X203" s="20"/>
      <c r="Y203" s="20"/>
    </row>
    <row r="204" spans="3:28" x14ac:dyDescent="0.2">
      <c r="C204" s="12"/>
      <c r="F204" s="20"/>
      <c r="G204" s="20"/>
      <c r="I204" s="20"/>
      <c r="J204" s="20"/>
      <c r="L204" s="20"/>
      <c r="M204" s="20"/>
      <c r="O204" s="20"/>
      <c r="P204" s="20"/>
      <c r="R204" s="20"/>
      <c r="S204" s="20"/>
      <c r="U204" s="20"/>
      <c r="V204" s="20"/>
      <c r="X204" s="20"/>
      <c r="Y204" s="20"/>
    </row>
    <row r="205" spans="3:28" x14ac:dyDescent="0.2">
      <c r="C205" s="12"/>
      <c r="F205" s="20"/>
      <c r="G205" s="20"/>
      <c r="I205" s="20"/>
      <c r="J205" s="20"/>
      <c r="L205" s="20"/>
      <c r="M205" s="20"/>
      <c r="O205" s="20"/>
      <c r="P205" s="20"/>
      <c r="R205" s="20"/>
      <c r="S205" s="20"/>
      <c r="U205" s="20"/>
      <c r="V205" s="20"/>
      <c r="X205" s="20"/>
      <c r="Y205" s="20"/>
    </row>
    <row r="206" spans="3:28" x14ac:dyDescent="0.2">
      <c r="C206" s="12"/>
      <c r="F206" s="20"/>
      <c r="G206" s="20"/>
      <c r="I206" s="20"/>
      <c r="J206" s="20"/>
      <c r="L206" s="20"/>
      <c r="M206" s="20"/>
      <c r="O206" s="20"/>
      <c r="P206" s="20"/>
      <c r="R206" s="20"/>
      <c r="S206" s="20"/>
      <c r="U206" s="20"/>
      <c r="V206" s="20"/>
      <c r="X206" s="20"/>
      <c r="Y206" s="20"/>
    </row>
    <row r="207" spans="3:28" x14ac:dyDescent="0.2">
      <c r="C207" s="12"/>
      <c r="F207" s="20"/>
      <c r="G207" s="20"/>
      <c r="I207" s="20"/>
      <c r="J207" s="20"/>
      <c r="L207" s="20"/>
      <c r="M207" s="20"/>
      <c r="O207" s="20"/>
      <c r="P207" s="20"/>
      <c r="R207" s="20"/>
      <c r="S207" s="20"/>
      <c r="U207" s="20"/>
      <c r="V207" s="20"/>
      <c r="X207" s="20"/>
      <c r="Y207" s="20"/>
    </row>
    <row r="208" spans="3:28" x14ac:dyDescent="0.2">
      <c r="C208" s="12"/>
      <c r="F208" s="20"/>
      <c r="G208" s="20"/>
      <c r="I208" s="20"/>
      <c r="J208" s="20"/>
      <c r="L208" s="20"/>
      <c r="M208" s="20"/>
      <c r="O208" s="20"/>
      <c r="P208" s="20"/>
      <c r="R208" s="20"/>
      <c r="S208" s="20"/>
      <c r="U208" s="20"/>
      <c r="V208" s="20"/>
      <c r="X208" s="20"/>
      <c r="Y208" s="20"/>
    </row>
    <row r="209" spans="3:25" x14ac:dyDescent="0.2">
      <c r="C209" s="12"/>
      <c r="F209" s="20"/>
      <c r="G209" s="20"/>
      <c r="I209" s="20"/>
      <c r="J209" s="20"/>
      <c r="L209" s="20"/>
      <c r="M209" s="20"/>
      <c r="O209" s="20"/>
      <c r="P209" s="20"/>
      <c r="R209" s="20"/>
      <c r="S209" s="20"/>
      <c r="U209" s="20"/>
      <c r="V209" s="20"/>
      <c r="X209" s="20"/>
      <c r="Y209" s="20"/>
    </row>
    <row r="210" spans="3:25" x14ac:dyDescent="0.2">
      <c r="C210" s="12"/>
      <c r="F210" s="20"/>
      <c r="G210" s="20"/>
      <c r="I210" s="20"/>
      <c r="J210" s="20"/>
      <c r="L210" s="20"/>
      <c r="M210" s="20"/>
      <c r="O210" s="20"/>
      <c r="P210" s="20"/>
      <c r="R210" s="20"/>
      <c r="S210" s="20"/>
      <c r="U210" s="20"/>
      <c r="V210" s="20"/>
      <c r="X210" s="20"/>
      <c r="Y210" s="20"/>
    </row>
    <row r="211" spans="3:25" x14ac:dyDescent="0.2">
      <c r="C211" s="12"/>
      <c r="F211" s="20"/>
      <c r="G211" s="20"/>
      <c r="I211" s="20"/>
      <c r="J211" s="20"/>
      <c r="L211" s="20"/>
      <c r="M211" s="20"/>
      <c r="O211" s="20"/>
      <c r="P211" s="20"/>
      <c r="R211" s="20"/>
      <c r="S211" s="20"/>
      <c r="U211" s="20"/>
      <c r="V211" s="20"/>
      <c r="X211" s="20"/>
      <c r="Y211" s="20"/>
    </row>
    <row r="212" spans="3:25" x14ac:dyDescent="0.2">
      <c r="C212" s="12"/>
    </row>
    <row r="213" spans="3:25" x14ac:dyDescent="0.2">
      <c r="C213" s="12"/>
    </row>
    <row r="214" spans="3:25" x14ac:dyDescent="0.2">
      <c r="C214" s="12"/>
    </row>
    <row r="215" spans="3:25" x14ac:dyDescent="0.2">
      <c r="C215" s="12"/>
    </row>
    <row r="216" spans="3:25" x14ac:dyDescent="0.2">
      <c r="C216" s="12"/>
    </row>
    <row r="217" spans="3:25" x14ac:dyDescent="0.2">
      <c r="C217" s="12"/>
    </row>
    <row r="218" spans="3:25" x14ac:dyDescent="0.2">
      <c r="C218" s="12"/>
    </row>
    <row r="219" spans="3:25" x14ac:dyDescent="0.2">
      <c r="C219" s="12"/>
    </row>
    <row r="220" spans="3:25" x14ac:dyDescent="0.2">
      <c r="C220" s="12"/>
    </row>
    <row r="221" spans="3:25" x14ac:dyDescent="0.2">
      <c r="C221" s="12"/>
    </row>
    <row r="222" spans="3:25" x14ac:dyDescent="0.2">
      <c r="C222" s="12"/>
    </row>
    <row r="223" spans="3:25" x14ac:dyDescent="0.2">
      <c r="C223" s="12"/>
    </row>
    <row r="224" spans="3:25" x14ac:dyDescent="0.2">
      <c r="C224" s="12"/>
    </row>
    <row r="225" spans="3:3" x14ac:dyDescent="0.2">
      <c r="C225" s="12"/>
    </row>
    <row r="226" spans="3:3" x14ac:dyDescent="0.2">
      <c r="C226" s="12"/>
    </row>
    <row r="227" spans="3:3" x14ac:dyDescent="0.2">
      <c r="C227" s="12"/>
    </row>
    <row r="228" spans="3:3" x14ac:dyDescent="0.2">
      <c r="C228" s="12"/>
    </row>
    <row r="229" spans="3:3" x14ac:dyDescent="0.2">
      <c r="C229" s="12"/>
    </row>
    <row r="230" spans="3:3" x14ac:dyDescent="0.2">
      <c r="C230" s="12"/>
    </row>
    <row r="231" spans="3:3" x14ac:dyDescent="0.2">
      <c r="C231" s="12"/>
    </row>
    <row r="232" spans="3:3" x14ac:dyDescent="0.2">
      <c r="C232" s="12"/>
    </row>
    <row r="233" spans="3:3" x14ac:dyDescent="0.2">
      <c r="C233" s="12"/>
    </row>
    <row r="234" spans="3:3" x14ac:dyDescent="0.2">
      <c r="C234" s="12"/>
    </row>
    <row r="235" spans="3:3" x14ac:dyDescent="0.2">
      <c r="C235" s="12"/>
    </row>
    <row r="236" spans="3:3" x14ac:dyDescent="0.2">
      <c r="C236" s="12"/>
    </row>
    <row r="237" spans="3:3" x14ac:dyDescent="0.2">
      <c r="C237" s="12"/>
    </row>
    <row r="238" spans="3:3" x14ac:dyDescent="0.2">
      <c r="C238" s="12"/>
    </row>
    <row r="239" spans="3:3" x14ac:dyDescent="0.2">
      <c r="C239" s="12"/>
    </row>
    <row r="240" spans="3:3" x14ac:dyDescent="0.2">
      <c r="C240" s="12"/>
    </row>
    <row r="241" spans="3:3" x14ac:dyDescent="0.2">
      <c r="C241" s="12"/>
    </row>
    <row r="242" spans="3:3" x14ac:dyDescent="0.2">
      <c r="C242" s="12"/>
    </row>
    <row r="243" spans="3:3" x14ac:dyDescent="0.2">
      <c r="C243" s="12"/>
    </row>
    <row r="244" spans="3:3" x14ac:dyDescent="0.2">
      <c r="C244" s="12"/>
    </row>
    <row r="245" spans="3:3" x14ac:dyDescent="0.2">
      <c r="C245" s="12"/>
    </row>
    <row r="246" spans="3:3" x14ac:dyDescent="0.2">
      <c r="C246" s="12"/>
    </row>
    <row r="247" spans="3:3" x14ac:dyDescent="0.2">
      <c r="C247" s="12"/>
    </row>
    <row r="248" spans="3:3" x14ac:dyDescent="0.2">
      <c r="C248" s="12"/>
    </row>
    <row r="249" spans="3:3" x14ac:dyDescent="0.2">
      <c r="C249" s="12"/>
    </row>
    <row r="250" spans="3:3" x14ac:dyDescent="0.2">
      <c r="C250" s="12"/>
    </row>
    <row r="251" spans="3:3" x14ac:dyDescent="0.2">
      <c r="C251" s="12"/>
    </row>
    <row r="252" spans="3:3" x14ac:dyDescent="0.2">
      <c r="C252" s="12"/>
    </row>
    <row r="253" spans="3:3" x14ac:dyDescent="0.2">
      <c r="C253" s="12"/>
    </row>
    <row r="254" spans="3:3" x14ac:dyDescent="0.2">
      <c r="C254" s="12"/>
    </row>
    <row r="255" spans="3:3" x14ac:dyDescent="0.2">
      <c r="C255" s="12"/>
    </row>
    <row r="256" spans="3:3" x14ac:dyDescent="0.2">
      <c r="C256" s="12"/>
    </row>
    <row r="257" spans="3:3" x14ac:dyDescent="0.2">
      <c r="C257" s="12"/>
    </row>
    <row r="258" spans="3:3" x14ac:dyDescent="0.2">
      <c r="C258" s="12"/>
    </row>
    <row r="259" spans="3:3" x14ac:dyDescent="0.2">
      <c r="C259" s="12"/>
    </row>
    <row r="260" spans="3:3" x14ac:dyDescent="0.2">
      <c r="C260" s="12"/>
    </row>
    <row r="261" spans="3:3" x14ac:dyDescent="0.2">
      <c r="C261" s="12"/>
    </row>
    <row r="262" spans="3:3" x14ac:dyDescent="0.2">
      <c r="C262" s="12"/>
    </row>
    <row r="263" spans="3:3" x14ac:dyDescent="0.2">
      <c r="C263" s="12"/>
    </row>
    <row r="264" spans="3:3" x14ac:dyDescent="0.2">
      <c r="C264" s="12"/>
    </row>
    <row r="265" spans="3:3" x14ac:dyDescent="0.2">
      <c r="C265" s="12"/>
    </row>
    <row r="266" spans="3:3" x14ac:dyDescent="0.2">
      <c r="C266" s="12"/>
    </row>
    <row r="267" spans="3:3" x14ac:dyDescent="0.2">
      <c r="C267" s="12"/>
    </row>
    <row r="268" spans="3:3" x14ac:dyDescent="0.2">
      <c r="C268" s="12"/>
    </row>
    <row r="269" spans="3:3" x14ac:dyDescent="0.2">
      <c r="C269" s="12"/>
    </row>
    <row r="270" spans="3:3" x14ac:dyDescent="0.2">
      <c r="C270" s="12"/>
    </row>
    <row r="271" spans="3:3" x14ac:dyDescent="0.2">
      <c r="C271" s="12"/>
    </row>
    <row r="272" spans="3:3" x14ac:dyDescent="0.2">
      <c r="C272" s="12"/>
    </row>
    <row r="273" spans="3:3" x14ac:dyDescent="0.2">
      <c r="C273" s="12"/>
    </row>
    <row r="274" spans="3:3" x14ac:dyDescent="0.2">
      <c r="C274" s="12"/>
    </row>
    <row r="275" spans="3:3" x14ac:dyDescent="0.2">
      <c r="C275" s="12"/>
    </row>
    <row r="276" spans="3:3" x14ac:dyDescent="0.2">
      <c r="C276" s="12"/>
    </row>
    <row r="277" spans="3:3" x14ac:dyDescent="0.2">
      <c r="C277" s="12"/>
    </row>
    <row r="278" spans="3:3" x14ac:dyDescent="0.2">
      <c r="C278" s="12"/>
    </row>
    <row r="279" spans="3:3" x14ac:dyDescent="0.2">
      <c r="C279" s="12"/>
    </row>
    <row r="280" spans="3:3" x14ac:dyDescent="0.2">
      <c r="C280" s="12"/>
    </row>
    <row r="281" spans="3:3" x14ac:dyDescent="0.2">
      <c r="C281" s="12"/>
    </row>
    <row r="282" spans="3:3" x14ac:dyDescent="0.2">
      <c r="C282" s="12"/>
    </row>
    <row r="283" spans="3:3" x14ac:dyDescent="0.2">
      <c r="C283" s="12"/>
    </row>
    <row r="284" spans="3:3" x14ac:dyDescent="0.2">
      <c r="C284" s="12"/>
    </row>
    <row r="285" spans="3:3" x14ac:dyDescent="0.2">
      <c r="C285" s="12"/>
    </row>
    <row r="286" spans="3:3" x14ac:dyDescent="0.2">
      <c r="C286" s="12"/>
    </row>
    <row r="287" spans="3:3" x14ac:dyDescent="0.2">
      <c r="C287" s="12"/>
    </row>
    <row r="288" spans="3:3" x14ac:dyDescent="0.2">
      <c r="C288" s="12"/>
    </row>
    <row r="289" spans="3:3" x14ac:dyDescent="0.2">
      <c r="C289" s="12"/>
    </row>
    <row r="290" spans="3:3" x14ac:dyDescent="0.2">
      <c r="C290" s="12"/>
    </row>
    <row r="291" spans="3:3" x14ac:dyDescent="0.2">
      <c r="C291" s="12"/>
    </row>
    <row r="292" spans="3:3" x14ac:dyDescent="0.2">
      <c r="C292" s="12"/>
    </row>
    <row r="293" spans="3:3" x14ac:dyDescent="0.2">
      <c r="C293" s="12"/>
    </row>
    <row r="294" spans="3:3" x14ac:dyDescent="0.2">
      <c r="C294" s="12"/>
    </row>
    <row r="295" spans="3:3" x14ac:dyDescent="0.2">
      <c r="C295" s="12"/>
    </row>
    <row r="296" spans="3:3" x14ac:dyDescent="0.2">
      <c r="C296" s="12"/>
    </row>
    <row r="297" spans="3:3" x14ac:dyDescent="0.2">
      <c r="C297" s="12"/>
    </row>
    <row r="298" spans="3:3" x14ac:dyDescent="0.2">
      <c r="C298" s="12"/>
    </row>
    <row r="299" spans="3:3" x14ac:dyDescent="0.2">
      <c r="C299" s="12"/>
    </row>
    <row r="300" spans="3:3" x14ac:dyDescent="0.2">
      <c r="C300" s="12"/>
    </row>
    <row r="301" spans="3:3" x14ac:dyDescent="0.2">
      <c r="C301" s="12"/>
    </row>
    <row r="302" spans="3:3" x14ac:dyDescent="0.2">
      <c r="C302" s="12"/>
    </row>
    <row r="303" spans="3:3" x14ac:dyDescent="0.2">
      <c r="C303" s="12"/>
    </row>
    <row r="304" spans="3:3" x14ac:dyDescent="0.2">
      <c r="C304" s="12"/>
    </row>
    <row r="305" spans="3:3" x14ac:dyDescent="0.2">
      <c r="C305" s="12"/>
    </row>
    <row r="306" spans="3:3" x14ac:dyDescent="0.2">
      <c r="C306" s="12"/>
    </row>
    <row r="307" spans="3:3" x14ac:dyDescent="0.2">
      <c r="C307" s="12"/>
    </row>
    <row r="308" spans="3:3" x14ac:dyDescent="0.2">
      <c r="C308" s="12"/>
    </row>
    <row r="309" spans="3:3" x14ac:dyDescent="0.2">
      <c r="C309" s="12"/>
    </row>
    <row r="310" spans="3:3" x14ac:dyDescent="0.2">
      <c r="C310" s="12"/>
    </row>
    <row r="311" spans="3:3" x14ac:dyDescent="0.2">
      <c r="C311" s="12"/>
    </row>
    <row r="312" spans="3:3" x14ac:dyDescent="0.2">
      <c r="C312" s="12"/>
    </row>
    <row r="313" spans="3:3" x14ac:dyDescent="0.2">
      <c r="C313" s="12"/>
    </row>
    <row r="314" spans="3:3" x14ac:dyDescent="0.2">
      <c r="C314" s="12"/>
    </row>
    <row r="315" spans="3:3" x14ac:dyDescent="0.2">
      <c r="C315" s="12"/>
    </row>
    <row r="316" spans="3:3" x14ac:dyDescent="0.2">
      <c r="C316" s="12"/>
    </row>
    <row r="317" spans="3:3" x14ac:dyDescent="0.2">
      <c r="C317" s="12"/>
    </row>
    <row r="318" spans="3:3" x14ac:dyDescent="0.2">
      <c r="C318" s="12"/>
    </row>
    <row r="319" spans="3:3" x14ac:dyDescent="0.2">
      <c r="C319" s="12"/>
    </row>
    <row r="320" spans="3:3" x14ac:dyDescent="0.2">
      <c r="C320" s="12"/>
    </row>
    <row r="321" spans="3:3" x14ac:dyDescent="0.2">
      <c r="C321" s="12"/>
    </row>
    <row r="322" spans="3:3" x14ac:dyDescent="0.2">
      <c r="C322" s="12"/>
    </row>
    <row r="323" spans="3:3" x14ac:dyDescent="0.2">
      <c r="C323" s="12"/>
    </row>
    <row r="324" spans="3:3" x14ac:dyDescent="0.2">
      <c r="C324" s="12"/>
    </row>
    <row r="325" spans="3:3" x14ac:dyDescent="0.2">
      <c r="C325" s="12"/>
    </row>
    <row r="326" spans="3:3" x14ac:dyDescent="0.2">
      <c r="C326" s="12"/>
    </row>
    <row r="327" spans="3:3" x14ac:dyDescent="0.2">
      <c r="C327" s="12"/>
    </row>
    <row r="328" spans="3:3" x14ac:dyDescent="0.2">
      <c r="C328" s="12"/>
    </row>
    <row r="329" spans="3:3" x14ac:dyDescent="0.2">
      <c r="C329" s="12"/>
    </row>
    <row r="330" spans="3:3" x14ac:dyDescent="0.2">
      <c r="C330" s="12"/>
    </row>
    <row r="331" spans="3:3" x14ac:dyDescent="0.2">
      <c r="C331" s="12"/>
    </row>
    <row r="332" spans="3:3" x14ac:dyDescent="0.2">
      <c r="C332" s="12"/>
    </row>
    <row r="333" spans="3:3" x14ac:dyDescent="0.2">
      <c r="C333" s="12"/>
    </row>
    <row r="334" spans="3:3" x14ac:dyDescent="0.2">
      <c r="C334" s="12"/>
    </row>
    <row r="335" spans="3:3" x14ac:dyDescent="0.2">
      <c r="C335" s="12"/>
    </row>
    <row r="336" spans="3:3" x14ac:dyDescent="0.2">
      <c r="C336" s="12"/>
    </row>
    <row r="337" spans="3:3" x14ac:dyDescent="0.2">
      <c r="C337" s="12"/>
    </row>
    <row r="338" spans="3:3" x14ac:dyDescent="0.2">
      <c r="C338" s="12"/>
    </row>
    <row r="339" spans="3:3" x14ac:dyDescent="0.2">
      <c r="C339" s="12"/>
    </row>
    <row r="340" spans="3:3" x14ac:dyDescent="0.2">
      <c r="C340" s="12"/>
    </row>
    <row r="341" spans="3:3" x14ac:dyDescent="0.2">
      <c r="C341" s="12"/>
    </row>
    <row r="342" spans="3:3" x14ac:dyDescent="0.2">
      <c r="C342" s="12"/>
    </row>
    <row r="343" spans="3:3" x14ac:dyDescent="0.2">
      <c r="C343" s="12"/>
    </row>
    <row r="344" spans="3:3" x14ac:dyDescent="0.2">
      <c r="C344" s="12"/>
    </row>
    <row r="345" spans="3:3" x14ac:dyDescent="0.2">
      <c r="C345" s="12"/>
    </row>
    <row r="346" spans="3:3" x14ac:dyDescent="0.2">
      <c r="C346" s="12"/>
    </row>
    <row r="347" spans="3:3" x14ac:dyDescent="0.2">
      <c r="C347" s="12"/>
    </row>
    <row r="348" spans="3:3" x14ac:dyDescent="0.2">
      <c r="C348" s="12"/>
    </row>
    <row r="349" spans="3:3" x14ac:dyDescent="0.2">
      <c r="C349" s="12"/>
    </row>
    <row r="350" spans="3:3" x14ac:dyDescent="0.2">
      <c r="C350" s="12"/>
    </row>
    <row r="351" spans="3:3" x14ac:dyDescent="0.2">
      <c r="C351" s="12"/>
    </row>
    <row r="352" spans="3:3" x14ac:dyDescent="0.2">
      <c r="C352" s="12"/>
    </row>
    <row r="353" spans="3:3" x14ac:dyDescent="0.2">
      <c r="C353" s="12"/>
    </row>
    <row r="354" spans="3:3" x14ac:dyDescent="0.2">
      <c r="C354" s="12"/>
    </row>
    <row r="355" spans="3:3" x14ac:dyDescent="0.2">
      <c r="C355" s="12"/>
    </row>
    <row r="356" spans="3:3" x14ac:dyDescent="0.2">
      <c r="C356" s="12"/>
    </row>
    <row r="357" spans="3:3" x14ac:dyDescent="0.2">
      <c r="C357" s="12"/>
    </row>
    <row r="358" spans="3:3" x14ac:dyDescent="0.2">
      <c r="C358" s="12"/>
    </row>
    <row r="359" spans="3:3" x14ac:dyDescent="0.2">
      <c r="C359" s="12"/>
    </row>
    <row r="360" spans="3:3" x14ac:dyDescent="0.2">
      <c r="C360" s="12"/>
    </row>
    <row r="361" spans="3:3" x14ac:dyDescent="0.2">
      <c r="C361" s="12"/>
    </row>
    <row r="362" spans="3:3" x14ac:dyDescent="0.2">
      <c r="C362" s="12"/>
    </row>
    <row r="363" spans="3:3" x14ac:dyDescent="0.2">
      <c r="C363" s="12"/>
    </row>
    <row r="364" spans="3:3" x14ac:dyDescent="0.2">
      <c r="C364" s="12"/>
    </row>
    <row r="365" spans="3:3" x14ac:dyDescent="0.2">
      <c r="C365" s="12"/>
    </row>
    <row r="366" spans="3:3" x14ac:dyDescent="0.2">
      <c r="C366" s="12"/>
    </row>
    <row r="367" spans="3:3" x14ac:dyDescent="0.2">
      <c r="C367" s="12"/>
    </row>
    <row r="368" spans="3:3" x14ac:dyDescent="0.2">
      <c r="C368" s="12"/>
    </row>
    <row r="369" spans="3:3" x14ac:dyDescent="0.2">
      <c r="C369" s="12"/>
    </row>
    <row r="370" spans="3:3" x14ac:dyDescent="0.2">
      <c r="C370" s="12"/>
    </row>
    <row r="371" spans="3:3" x14ac:dyDescent="0.2">
      <c r="C371" s="12"/>
    </row>
    <row r="372" spans="3:3" x14ac:dyDescent="0.2">
      <c r="C372" s="12"/>
    </row>
    <row r="373" spans="3:3" x14ac:dyDescent="0.2">
      <c r="C373" s="12"/>
    </row>
    <row r="374" spans="3:3" x14ac:dyDescent="0.2">
      <c r="C374" s="12"/>
    </row>
    <row r="375" spans="3:3" x14ac:dyDescent="0.2">
      <c r="C375" s="12"/>
    </row>
    <row r="376" spans="3:3" x14ac:dyDescent="0.2">
      <c r="C376" s="12"/>
    </row>
    <row r="377" spans="3:3" x14ac:dyDescent="0.2">
      <c r="C377" s="12"/>
    </row>
    <row r="378" spans="3:3" x14ac:dyDescent="0.2">
      <c r="C378" s="12"/>
    </row>
    <row r="379" spans="3:3" x14ac:dyDescent="0.2">
      <c r="C379" s="12"/>
    </row>
    <row r="380" spans="3:3" x14ac:dyDescent="0.2">
      <c r="C380" s="12"/>
    </row>
    <row r="381" spans="3:3" x14ac:dyDescent="0.2">
      <c r="C381" s="12"/>
    </row>
    <row r="382" spans="3:3" x14ac:dyDescent="0.2">
      <c r="C382" s="12"/>
    </row>
    <row r="383" spans="3:3" x14ac:dyDescent="0.2">
      <c r="C383" s="12"/>
    </row>
    <row r="384" spans="3:3" x14ac:dyDescent="0.2">
      <c r="C384" s="12"/>
    </row>
    <row r="385" spans="3:3" x14ac:dyDescent="0.2">
      <c r="C385" s="12"/>
    </row>
    <row r="386" spans="3:3" x14ac:dyDescent="0.2">
      <c r="C386" s="12"/>
    </row>
    <row r="387" spans="3:3" x14ac:dyDescent="0.2">
      <c r="C387" s="12"/>
    </row>
    <row r="388" spans="3:3" x14ac:dyDescent="0.2">
      <c r="C388" s="12"/>
    </row>
    <row r="389" spans="3:3" x14ac:dyDescent="0.2">
      <c r="C389" s="12"/>
    </row>
    <row r="390" spans="3:3" x14ac:dyDescent="0.2">
      <c r="C390" s="12"/>
    </row>
    <row r="391" spans="3:3" x14ac:dyDescent="0.2">
      <c r="C391" s="12"/>
    </row>
    <row r="392" spans="3:3" x14ac:dyDescent="0.2">
      <c r="C392" s="12"/>
    </row>
    <row r="393" spans="3:3" x14ac:dyDescent="0.2">
      <c r="C393" s="12"/>
    </row>
    <row r="394" spans="3:3" x14ac:dyDescent="0.2">
      <c r="C394" s="12"/>
    </row>
    <row r="395" spans="3:3" x14ac:dyDescent="0.2">
      <c r="C395" s="12"/>
    </row>
    <row r="396" spans="3:3" x14ac:dyDescent="0.2">
      <c r="C396" s="12"/>
    </row>
    <row r="397" spans="3:3" x14ac:dyDescent="0.2">
      <c r="C397" s="12"/>
    </row>
    <row r="398" spans="3:3" x14ac:dyDescent="0.2">
      <c r="C398" s="12"/>
    </row>
    <row r="399" spans="3:3" x14ac:dyDescent="0.2">
      <c r="C399" s="12"/>
    </row>
    <row r="400" spans="3:3" x14ac:dyDescent="0.2">
      <c r="C400" s="12"/>
    </row>
    <row r="401" spans="3:3" x14ac:dyDescent="0.2">
      <c r="C401" s="12"/>
    </row>
    <row r="402" spans="3:3" x14ac:dyDescent="0.2">
      <c r="C402" s="12"/>
    </row>
    <row r="403" spans="3:3" x14ac:dyDescent="0.2">
      <c r="C403" s="12"/>
    </row>
    <row r="404" spans="3:3" x14ac:dyDescent="0.2">
      <c r="C404" s="12"/>
    </row>
    <row r="405" spans="3:3" x14ac:dyDescent="0.2">
      <c r="C405" s="12"/>
    </row>
    <row r="406" spans="3:3" x14ac:dyDescent="0.2">
      <c r="C406" s="12"/>
    </row>
    <row r="407" spans="3:3" x14ac:dyDescent="0.2">
      <c r="C407" s="12"/>
    </row>
    <row r="408" spans="3:3" x14ac:dyDescent="0.2">
      <c r="C408" s="12"/>
    </row>
    <row r="409" spans="3:3" x14ac:dyDescent="0.2">
      <c r="C409" s="12"/>
    </row>
    <row r="410" spans="3:3" x14ac:dyDescent="0.2">
      <c r="C410" s="12"/>
    </row>
    <row r="411" spans="3:3" x14ac:dyDescent="0.2">
      <c r="C411" s="12"/>
    </row>
    <row r="412" spans="3:3" x14ac:dyDescent="0.2">
      <c r="C412" s="12"/>
    </row>
    <row r="413" spans="3:3" x14ac:dyDescent="0.2">
      <c r="C413" s="12"/>
    </row>
    <row r="414" spans="3:3" x14ac:dyDescent="0.2">
      <c r="C414" s="12"/>
    </row>
    <row r="415" spans="3:3" x14ac:dyDescent="0.2">
      <c r="C415" s="12"/>
    </row>
    <row r="416" spans="3:3" x14ac:dyDescent="0.2">
      <c r="C416" s="12"/>
    </row>
    <row r="417" spans="3:3" x14ac:dyDescent="0.2">
      <c r="C417" s="12"/>
    </row>
    <row r="418" spans="3:3" x14ac:dyDescent="0.2">
      <c r="C418" s="12"/>
    </row>
    <row r="419" spans="3:3" x14ac:dyDescent="0.2">
      <c r="C419" s="12"/>
    </row>
    <row r="420" spans="3:3" x14ac:dyDescent="0.2">
      <c r="C420" s="12"/>
    </row>
    <row r="421" spans="3:3" x14ac:dyDescent="0.2">
      <c r="C421" s="12"/>
    </row>
    <row r="422" spans="3:3" x14ac:dyDescent="0.2">
      <c r="C422" s="12"/>
    </row>
    <row r="423" spans="3:3" x14ac:dyDescent="0.2">
      <c r="C423" s="12"/>
    </row>
    <row r="424" spans="3:3" x14ac:dyDescent="0.2">
      <c r="C424" s="12"/>
    </row>
    <row r="425" spans="3:3" x14ac:dyDescent="0.2">
      <c r="C425" s="12"/>
    </row>
    <row r="426" spans="3:3" x14ac:dyDescent="0.2">
      <c r="C426" s="12"/>
    </row>
    <row r="427" spans="3:3" x14ac:dyDescent="0.2">
      <c r="C427" s="12"/>
    </row>
    <row r="428" spans="3:3" x14ac:dyDescent="0.2">
      <c r="C428" s="12"/>
    </row>
    <row r="429" spans="3:3" x14ac:dyDescent="0.2">
      <c r="C429" s="12"/>
    </row>
    <row r="430" spans="3:3" x14ac:dyDescent="0.2">
      <c r="C430" s="12"/>
    </row>
    <row r="431" spans="3:3" x14ac:dyDescent="0.2">
      <c r="C431" s="12"/>
    </row>
    <row r="432" spans="3:3" x14ac:dyDescent="0.2">
      <c r="C432" s="12"/>
    </row>
    <row r="433" spans="3:3" x14ac:dyDescent="0.2">
      <c r="C433" s="12"/>
    </row>
    <row r="434" spans="3:3" x14ac:dyDescent="0.2">
      <c r="C434" s="12"/>
    </row>
    <row r="435" spans="3:3" x14ac:dyDescent="0.2">
      <c r="C435" s="12"/>
    </row>
    <row r="436" spans="3:3" x14ac:dyDescent="0.2">
      <c r="C436" s="12"/>
    </row>
    <row r="437" spans="3:3" x14ac:dyDescent="0.2">
      <c r="C437" s="12"/>
    </row>
    <row r="438" spans="3:3" x14ac:dyDescent="0.2">
      <c r="C438" s="12"/>
    </row>
    <row r="439" spans="3:3" x14ac:dyDescent="0.2">
      <c r="C439" s="12"/>
    </row>
    <row r="440" spans="3:3" x14ac:dyDescent="0.2">
      <c r="C440" s="12"/>
    </row>
    <row r="441" spans="3:3" x14ac:dyDescent="0.2">
      <c r="C441" s="12"/>
    </row>
    <row r="442" spans="3:3" x14ac:dyDescent="0.2">
      <c r="C442" s="12"/>
    </row>
    <row r="443" spans="3:3" x14ac:dyDescent="0.2">
      <c r="C443" s="12"/>
    </row>
    <row r="444" spans="3:3" x14ac:dyDescent="0.2">
      <c r="C444" s="12"/>
    </row>
    <row r="445" spans="3:3" x14ac:dyDescent="0.2">
      <c r="C445" s="12"/>
    </row>
    <row r="446" spans="3:3" x14ac:dyDescent="0.2">
      <c r="C446" s="12"/>
    </row>
    <row r="447" spans="3:3" x14ac:dyDescent="0.2">
      <c r="C447" s="12"/>
    </row>
    <row r="448" spans="3:3" x14ac:dyDescent="0.2">
      <c r="C448" s="12"/>
    </row>
    <row r="449" spans="3:3" x14ac:dyDescent="0.2">
      <c r="C449" s="12"/>
    </row>
    <row r="450" spans="3:3" x14ac:dyDescent="0.2">
      <c r="C450" s="12"/>
    </row>
    <row r="451" spans="3:3" x14ac:dyDescent="0.2">
      <c r="C451" s="12"/>
    </row>
    <row r="452" spans="3:3" x14ac:dyDescent="0.2">
      <c r="C452" s="12"/>
    </row>
    <row r="453" spans="3:3" x14ac:dyDescent="0.2">
      <c r="C453" s="12"/>
    </row>
    <row r="454" spans="3:3" x14ac:dyDescent="0.2">
      <c r="C454" s="12"/>
    </row>
    <row r="455" spans="3:3" x14ac:dyDescent="0.2">
      <c r="C455" s="12"/>
    </row>
    <row r="456" spans="3:3" x14ac:dyDescent="0.2">
      <c r="C456" s="12"/>
    </row>
    <row r="457" spans="3:3" x14ac:dyDescent="0.2">
      <c r="C457" s="12"/>
    </row>
    <row r="458" spans="3:3" x14ac:dyDescent="0.2">
      <c r="C458" s="12"/>
    </row>
    <row r="459" spans="3:3" x14ac:dyDescent="0.2">
      <c r="C459" s="12"/>
    </row>
    <row r="460" spans="3:3" x14ac:dyDescent="0.2">
      <c r="C460" s="12"/>
    </row>
    <row r="461" spans="3:3" x14ac:dyDescent="0.2">
      <c r="C461" s="12"/>
    </row>
    <row r="462" spans="3:3" x14ac:dyDescent="0.2">
      <c r="C462" s="12"/>
    </row>
    <row r="463" spans="3:3" x14ac:dyDescent="0.2">
      <c r="C463" s="12"/>
    </row>
    <row r="464" spans="3:3" x14ac:dyDescent="0.2">
      <c r="C464" s="12"/>
    </row>
    <row r="465" spans="3:3" x14ac:dyDescent="0.2">
      <c r="C465" s="12"/>
    </row>
    <row r="466" spans="3:3" x14ac:dyDescent="0.2">
      <c r="C466" s="12"/>
    </row>
    <row r="467" spans="3:3" x14ac:dyDescent="0.2">
      <c r="C467" s="12"/>
    </row>
    <row r="468" spans="3:3" x14ac:dyDescent="0.2">
      <c r="C468" s="12"/>
    </row>
    <row r="469" spans="3:3" x14ac:dyDescent="0.2">
      <c r="C469" s="12"/>
    </row>
    <row r="470" spans="3:3" x14ac:dyDescent="0.2">
      <c r="C470" s="12"/>
    </row>
    <row r="471" spans="3:3" x14ac:dyDescent="0.2">
      <c r="C471" s="12"/>
    </row>
    <row r="472" spans="3:3" x14ac:dyDescent="0.2">
      <c r="C472" s="12"/>
    </row>
    <row r="473" spans="3:3" x14ac:dyDescent="0.2">
      <c r="C473" s="12"/>
    </row>
    <row r="474" spans="3:3" x14ac:dyDescent="0.2">
      <c r="C474" s="12"/>
    </row>
    <row r="475" spans="3:3" x14ac:dyDescent="0.2">
      <c r="C475" s="12"/>
    </row>
    <row r="476" spans="3:3" x14ac:dyDescent="0.2">
      <c r="C476" s="12"/>
    </row>
    <row r="477" spans="3:3" x14ac:dyDescent="0.2">
      <c r="C477" s="12"/>
    </row>
    <row r="478" spans="3:3" x14ac:dyDescent="0.2">
      <c r="C478" s="12"/>
    </row>
    <row r="479" spans="3:3" x14ac:dyDescent="0.2">
      <c r="C479" s="12"/>
    </row>
    <row r="480" spans="3:3" x14ac:dyDescent="0.2">
      <c r="C480" s="12"/>
    </row>
    <row r="481" spans="3:3" x14ac:dyDescent="0.2">
      <c r="C481" s="12"/>
    </row>
    <row r="482" spans="3:3" x14ac:dyDescent="0.2">
      <c r="C482" s="12"/>
    </row>
    <row r="483" spans="3:3" x14ac:dyDescent="0.2">
      <c r="C483" s="12"/>
    </row>
    <row r="484" spans="3:3" x14ac:dyDescent="0.2">
      <c r="C484" s="12"/>
    </row>
    <row r="485" spans="3:3" x14ac:dyDescent="0.2">
      <c r="C485" s="12"/>
    </row>
    <row r="486" spans="3:3" x14ac:dyDescent="0.2">
      <c r="C486" s="12"/>
    </row>
    <row r="487" spans="3:3" x14ac:dyDescent="0.2">
      <c r="C487" s="12"/>
    </row>
    <row r="488" spans="3:3" x14ac:dyDescent="0.2">
      <c r="C488" s="12"/>
    </row>
    <row r="489" spans="3:3" x14ac:dyDescent="0.2">
      <c r="C489" s="12"/>
    </row>
    <row r="490" spans="3:3" x14ac:dyDescent="0.2">
      <c r="C490" s="12"/>
    </row>
    <row r="491" spans="3:3" x14ac:dyDescent="0.2">
      <c r="C491" s="12"/>
    </row>
    <row r="492" spans="3:3" x14ac:dyDescent="0.2">
      <c r="C492" s="12"/>
    </row>
    <row r="493" spans="3:3" x14ac:dyDescent="0.2">
      <c r="C493" s="12"/>
    </row>
    <row r="494" spans="3:3" x14ac:dyDescent="0.2">
      <c r="C494" s="12"/>
    </row>
    <row r="495" spans="3:3" x14ac:dyDescent="0.2">
      <c r="C495" s="12"/>
    </row>
    <row r="496" spans="3:3" x14ac:dyDescent="0.2">
      <c r="C496" s="12"/>
    </row>
    <row r="497" spans="3:3" x14ac:dyDescent="0.2">
      <c r="C497" s="12"/>
    </row>
    <row r="498" spans="3:3" x14ac:dyDescent="0.2">
      <c r="C498" s="12"/>
    </row>
    <row r="499" spans="3:3" x14ac:dyDescent="0.2">
      <c r="C499" s="12"/>
    </row>
    <row r="500" spans="3:3" x14ac:dyDescent="0.2">
      <c r="C500" s="12"/>
    </row>
    <row r="501" spans="3:3" x14ac:dyDescent="0.2">
      <c r="C501" s="12"/>
    </row>
    <row r="502" spans="3:3" x14ac:dyDescent="0.2">
      <c r="C502" s="12"/>
    </row>
    <row r="503" spans="3:3" x14ac:dyDescent="0.2">
      <c r="C503" s="12"/>
    </row>
    <row r="504" spans="3:3" x14ac:dyDescent="0.2">
      <c r="C504" s="12"/>
    </row>
    <row r="505" spans="3:3" x14ac:dyDescent="0.2">
      <c r="C505" s="12"/>
    </row>
    <row r="506" spans="3:3" x14ac:dyDescent="0.2">
      <c r="C506" s="12"/>
    </row>
    <row r="507" spans="3:3" x14ac:dyDescent="0.2">
      <c r="C507" s="12"/>
    </row>
    <row r="508" spans="3:3" x14ac:dyDescent="0.2">
      <c r="C508" s="12"/>
    </row>
    <row r="509" spans="3:3" x14ac:dyDescent="0.2">
      <c r="C509" s="12"/>
    </row>
    <row r="510" spans="3:3" x14ac:dyDescent="0.2">
      <c r="C510" s="12"/>
    </row>
    <row r="511" spans="3:3" x14ac:dyDescent="0.2">
      <c r="C511" s="12"/>
    </row>
    <row r="512" spans="3:3" x14ac:dyDescent="0.2">
      <c r="C512" s="12"/>
    </row>
    <row r="513" spans="3:3" x14ac:dyDescent="0.2">
      <c r="C513" s="12"/>
    </row>
    <row r="514" spans="3:3" x14ac:dyDescent="0.2">
      <c r="C514" s="12"/>
    </row>
    <row r="515" spans="3:3" x14ac:dyDescent="0.2">
      <c r="C515" s="12"/>
    </row>
    <row r="516" spans="3:3" x14ac:dyDescent="0.2">
      <c r="C516" s="12"/>
    </row>
    <row r="517" spans="3:3" x14ac:dyDescent="0.2">
      <c r="C517" s="12"/>
    </row>
    <row r="518" spans="3:3" x14ac:dyDescent="0.2">
      <c r="C518" s="12"/>
    </row>
    <row r="519" spans="3:3" x14ac:dyDescent="0.2">
      <c r="C519" s="12"/>
    </row>
    <row r="520" spans="3:3" x14ac:dyDescent="0.2">
      <c r="C520" s="12"/>
    </row>
    <row r="521" spans="3:3" x14ac:dyDescent="0.2">
      <c r="C521" s="12"/>
    </row>
    <row r="522" spans="3:3" x14ac:dyDescent="0.2">
      <c r="C522" s="12"/>
    </row>
    <row r="523" spans="3:3" x14ac:dyDescent="0.2">
      <c r="C523" s="12"/>
    </row>
    <row r="524" spans="3:3" x14ac:dyDescent="0.2">
      <c r="C524" s="12"/>
    </row>
    <row r="525" spans="3:3" x14ac:dyDescent="0.2">
      <c r="C525" s="12"/>
    </row>
    <row r="526" spans="3:3" x14ac:dyDescent="0.2">
      <c r="C526" s="12"/>
    </row>
    <row r="527" spans="3:3" x14ac:dyDescent="0.2">
      <c r="C527" s="12"/>
    </row>
    <row r="528" spans="3:3" x14ac:dyDescent="0.2">
      <c r="C528" s="12"/>
    </row>
    <row r="529" spans="3:3" x14ac:dyDescent="0.2">
      <c r="C529" s="12"/>
    </row>
    <row r="530" spans="3:3" x14ac:dyDescent="0.2">
      <c r="C530" s="12"/>
    </row>
    <row r="531" spans="3:3" x14ac:dyDescent="0.2">
      <c r="C531" s="12"/>
    </row>
    <row r="532" spans="3:3" x14ac:dyDescent="0.2">
      <c r="C532" s="12"/>
    </row>
    <row r="533" spans="3:3" x14ac:dyDescent="0.2">
      <c r="C533" s="12"/>
    </row>
    <row r="534" spans="3:3" x14ac:dyDescent="0.2">
      <c r="C534" s="12"/>
    </row>
    <row r="535" spans="3:3" x14ac:dyDescent="0.2">
      <c r="C535" s="12"/>
    </row>
    <row r="536" spans="3:3" x14ac:dyDescent="0.2">
      <c r="C536" s="12"/>
    </row>
    <row r="537" spans="3:3" x14ac:dyDescent="0.2">
      <c r="C537" s="12"/>
    </row>
    <row r="538" spans="3:3" x14ac:dyDescent="0.2">
      <c r="C538" s="12"/>
    </row>
    <row r="539" spans="3:3" x14ac:dyDescent="0.2">
      <c r="C539" s="12"/>
    </row>
    <row r="540" spans="3:3" x14ac:dyDescent="0.2">
      <c r="C540" s="12"/>
    </row>
    <row r="541" spans="3:3" x14ac:dyDescent="0.2">
      <c r="C541" s="12"/>
    </row>
    <row r="542" spans="3:3" x14ac:dyDescent="0.2">
      <c r="C542" s="12"/>
    </row>
    <row r="543" spans="3:3" x14ac:dyDescent="0.2">
      <c r="C543" s="12"/>
    </row>
    <row r="544" spans="3:3" x14ac:dyDescent="0.2">
      <c r="C544" s="12"/>
    </row>
    <row r="545" spans="3:3" x14ac:dyDescent="0.2">
      <c r="C545" s="12"/>
    </row>
    <row r="546" spans="3:3" x14ac:dyDescent="0.2">
      <c r="C546" s="12"/>
    </row>
    <row r="547" spans="3:3" x14ac:dyDescent="0.2">
      <c r="C547" s="12"/>
    </row>
    <row r="548" spans="3:3" x14ac:dyDescent="0.2">
      <c r="C548" s="12"/>
    </row>
    <row r="549" spans="3:3" x14ac:dyDescent="0.2">
      <c r="C549" s="12"/>
    </row>
    <row r="550" spans="3:3" x14ac:dyDescent="0.2">
      <c r="C550" s="12"/>
    </row>
    <row r="551" spans="3:3" x14ac:dyDescent="0.2">
      <c r="C551" s="12"/>
    </row>
    <row r="552" spans="3:3" x14ac:dyDescent="0.2">
      <c r="C552" s="12"/>
    </row>
    <row r="553" spans="3:3" x14ac:dyDescent="0.2">
      <c r="C553" s="12"/>
    </row>
    <row r="554" spans="3:3" x14ac:dyDescent="0.2">
      <c r="C554" s="12"/>
    </row>
    <row r="555" spans="3:3" x14ac:dyDescent="0.2">
      <c r="C555" s="12"/>
    </row>
    <row r="556" spans="3:3" x14ac:dyDescent="0.2">
      <c r="C556" s="12"/>
    </row>
    <row r="557" spans="3:3" x14ac:dyDescent="0.2">
      <c r="C557" s="12"/>
    </row>
    <row r="558" spans="3:3" x14ac:dyDescent="0.2">
      <c r="C558" s="12"/>
    </row>
    <row r="559" spans="3:3" x14ac:dyDescent="0.2">
      <c r="C559" s="12"/>
    </row>
    <row r="560" spans="3:3" x14ac:dyDescent="0.2">
      <c r="C560" s="12"/>
    </row>
    <row r="561" spans="3:3" x14ac:dyDescent="0.2">
      <c r="C561" s="12"/>
    </row>
    <row r="562" spans="3:3" x14ac:dyDescent="0.2">
      <c r="C562" s="12"/>
    </row>
    <row r="563" spans="3:3" x14ac:dyDescent="0.2">
      <c r="C563" s="12"/>
    </row>
    <row r="564" spans="3:3" x14ac:dyDescent="0.2">
      <c r="C564" s="12"/>
    </row>
    <row r="565" spans="3:3" x14ac:dyDescent="0.2">
      <c r="C565" s="12"/>
    </row>
    <row r="566" spans="3:3" x14ac:dyDescent="0.2">
      <c r="C566" s="12"/>
    </row>
    <row r="567" spans="3:3" x14ac:dyDescent="0.2">
      <c r="C567" s="12"/>
    </row>
    <row r="568" spans="3:3" x14ac:dyDescent="0.2">
      <c r="C568" s="12"/>
    </row>
    <row r="569" spans="3:3" x14ac:dyDescent="0.2">
      <c r="C569" s="12"/>
    </row>
    <row r="570" spans="3:3" x14ac:dyDescent="0.2">
      <c r="C570" s="12"/>
    </row>
    <row r="571" spans="3:3" x14ac:dyDescent="0.2">
      <c r="C571" s="12"/>
    </row>
    <row r="572" spans="3:3" x14ac:dyDescent="0.2">
      <c r="C572" s="12"/>
    </row>
    <row r="573" spans="3:3" x14ac:dyDescent="0.2">
      <c r="C573" s="12"/>
    </row>
    <row r="574" spans="3:3" x14ac:dyDescent="0.2">
      <c r="C574" s="12"/>
    </row>
    <row r="575" spans="3:3" x14ac:dyDescent="0.2">
      <c r="C575" s="12"/>
    </row>
    <row r="576" spans="3:3" x14ac:dyDescent="0.2">
      <c r="C576" s="12"/>
    </row>
    <row r="577" spans="3:3" x14ac:dyDescent="0.2">
      <c r="C577" s="12"/>
    </row>
    <row r="578" spans="3:3" x14ac:dyDescent="0.2">
      <c r="C578" s="12"/>
    </row>
    <row r="579" spans="3:3" x14ac:dyDescent="0.2">
      <c r="C579" s="12"/>
    </row>
    <row r="580" spans="3:3" x14ac:dyDescent="0.2">
      <c r="C580" s="12"/>
    </row>
    <row r="581" spans="3:3" x14ac:dyDescent="0.2">
      <c r="C581" s="12"/>
    </row>
    <row r="582" spans="3:3" x14ac:dyDescent="0.2">
      <c r="C582" s="12"/>
    </row>
    <row r="583" spans="3:3" x14ac:dyDescent="0.2">
      <c r="C583" s="12"/>
    </row>
    <row r="584" spans="3:3" x14ac:dyDescent="0.2">
      <c r="C584" s="12"/>
    </row>
    <row r="585" spans="3:3" x14ac:dyDescent="0.2">
      <c r="C585" s="12"/>
    </row>
    <row r="586" spans="3:3" x14ac:dyDescent="0.2">
      <c r="C586" s="12"/>
    </row>
    <row r="587" spans="3:3" x14ac:dyDescent="0.2">
      <c r="C587" s="12"/>
    </row>
    <row r="588" spans="3:3" x14ac:dyDescent="0.2">
      <c r="C588" s="12"/>
    </row>
    <row r="589" spans="3:3" x14ac:dyDescent="0.2">
      <c r="C589" s="12"/>
    </row>
    <row r="590" spans="3:3" x14ac:dyDescent="0.2">
      <c r="C590" s="12"/>
    </row>
    <row r="591" spans="3:3" x14ac:dyDescent="0.2">
      <c r="C591" s="12"/>
    </row>
    <row r="592" spans="3:3" x14ac:dyDescent="0.2">
      <c r="C592" s="12"/>
    </row>
    <row r="593" spans="3:3" x14ac:dyDescent="0.2">
      <c r="C593" s="12"/>
    </row>
    <row r="594" spans="3:3" x14ac:dyDescent="0.2">
      <c r="C594" s="12"/>
    </row>
    <row r="595" spans="3:3" x14ac:dyDescent="0.2">
      <c r="C595" s="12"/>
    </row>
    <row r="596" spans="3:3" x14ac:dyDescent="0.2">
      <c r="C596" s="12"/>
    </row>
    <row r="597" spans="3:3" x14ac:dyDescent="0.2">
      <c r="C597" s="12"/>
    </row>
    <row r="598" spans="3:3" x14ac:dyDescent="0.2">
      <c r="C598" s="12"/>
    </row>
    <row r="599" spans="3:3" x14ac:dyDescent="0.2">
      <c r="C599" s="12"/>
    </row>
    <row r="600" spans="3:3" x14ac:dyDescent="0.2">
      <c r="C600" s="12"/>
    </row>
    <row r="601" spans="3:3" x14ac:dyDescent="0.2">
      <c r="C601" s="12"/>
    </row>
    <row r="602" spans="3:3" x14ac:dyDescent="0.2">
      <c r="C602" s="12"/>
    </row>
    <row r="603" spans="3:3" x14ac:dyDescent="0.2">
      <c r="C603" s="12"/>
    </row>
    <row r="604" spans="3:3" x14ac:dyDescent="0.2">
      <c r="C604" s="12"/>
    </row>
    <row r="605" spans="3:3" x14ac:dyDescent="0.2">
      <c r="C605" s="12"/>
    </row>
    <row r="606" spans="3:3" x14ac:dyDescent="0.2">
      <c r="C606" s="12"/>
    </row>
    <row r="607" spans="3:3" x14ac:dyDescent="0.2">
      <c r="C607" s="12"/>
    </row>
    <row r="608" spans="3:3" x14ac:dyDescent="0.2">
      <c r="C608" s="12"/>
    </row>
    <row r="609" spans="3:3" x14ac:dyDescent="0.2">
      <c r="C609" s="12"/>
    </row>
    <row r="610" spans="3:3" x14ac:dyDescent="0.2">
      <c r="C610" s="12"/>
    </row>
    <row r="611" spans="3:3" x14ac:dyDescent="0.2">
      <c r="C611" s="12"/>
    </row>
    <row r="612" spans="3:3" x14ac:dyDescent="0.2">
      <c r="C612" s="12"/>
    </row>
    <row r="613" spans="3:3" x14ac:dyDescent="0.2">
      <c r="C613" s="12"/>
    </row>
    <row r="614" spans="3:3" x14ac:dyDescent="0.2">
      <c r="C614" s="12"/>
    </row>
    <row r="615" spans="3:3" x14ac:dyDescent="0.2">
      <c r="C615" s="12"/>
    </row>
    <row r="616" spans="3:3" x14ac:dyDescent="0.2">
      <c r="C616" s="12"/>
    </row>
    <row r="617" spans="3:3" x14ac:dyDescent="0.2">
      <c r="C617" s="12"/>
    </row>
    <row r="618" spans="3:3" x14ac:dyDescent="0.2">
      <c r="C618" s="12"/>
    </row>
    <row r="619" spans="3:3" x14ac:dyDescent="0.2">
      <c r="C619" s="12"/>
    </row>
    <row r="620" spans="3:3" x14ac:dyDescent="0.2">
      <c r="C620" s="12"/>
    </row>
    <row r="621" spans="3:3" x14ac:dyDescent="0.2">
      <c r="C621" s="12"/>
    </row>
    <row r="622" spans="3:3" x14ac:dyDescent="0.2">
      <c r="C622" s="12"/>
    </row>
    <row r="623" spans="3:3" x14ac:dyDescent="0.2">
      <c r="C623" s="12"/>
    </row>
    <row r="624" spans="3:3" x14ac:dyDescent="0.2">
      <c r="C624" s="12"/>
    </row>
    <row r="625" spans="3:3" x14ac:dyDescent="0.2">
      <c r="C625" s="12"/>
    </row>
    <row r="626" spans="3:3" x14ac:dyDescent="0.2">
      <c r="C626" s="12"/>
    </row>
    <row r="627" spans="3:3" x14ac:dyDescent="0.2">
      <c r="C627" s="12"/>
    </row>
    <row r="628" spans="3:3" x14ac:dyDescent="0.2">
      <c r="C628" s="12"/>
    </row>
    <row r="629" spans="3:3" x14ac:dyDescent="0.2">
      <c r="C629" s="12"/>
    </row>
    <row r="630" spans="3:3" x14ac:dyDescent="0.2">
      <c r="C630" s="12"/>
    </row>
    <row r="631" spans="3:3" x14ac:dyDescent="0.2">
      <c r="C631" s="12"/>
    </row>
    <row r="632" spans="3:3" x14ac:dyDescent="0.2">
      <c r="C632" s="12"/>
    </row>
    <row r="633" spans="3:3" x14ac:dyDescent="0.2">
      <c r="C633" s="12"/>
    </row>
    <row r="634" spans="3:3" x14ac:dyDescent="0.2">
      <c r="C634" s="12"/>
    </row>
    <row r="635" spans="3:3" x14ac:dyDescent="0.2">
      <c r="C635" s="12"/>
    </row>
    <row r="636" spans="3:3" x14ac:dyDescent="0.2">
      <c r="C636" s="12"/>
    </row>
    <row r="637" spans="3:3" x14ac:dyDescent="0.2">
      <c r="C637" s="12"/>
    </row>
    <row r="638" spans="3:3" x14ac:dyDescent="0.2">
      <c r="C638" s="12"/>
    </row>
    <row r="639" spans="3:3" x14ac:dyDescent="0.2">
      <c r="C639" s="12"/>
    </row>
    <row r="640" spans="3:3" x14ac:dyDescent="0.2">
      <c r="C640" s="12"/>
    </row>
    <row r="641" spans="3:3" x14ac:dyDescent="0.2">
      <c r="C641" s="12"/>
    </row>
    <row r="642" spans="3:3" x14ac:dyDescent="0.2">
      <c r="C642" s="12"/>
    </row>
    <row r="643" spans="3:3" x14ac:dyDescent="0.2">
      <c r="C643" s="12"/>
    </row>
    <row r="644" spans="3:3" x14ac:dyDescent="0.2">
      <c r="C644" s="12"/>
    </row>
    <row r="645" spans="3:3" x14ac:dyDescent="0.2">
      <c r="C645" s="12"/>
    </row>
    <row r="646" spans="3:3" x14ac:dyDescent="0.2">
      <c r="C646" s="12"/>
    </row>
    <row r="647" spans="3:3" x14ac:dyDescent="0.2">
      <c r="C647" s="12"/>
    </row>
    <row r="648" spans="3:3" x14ac:dyDescent="0.2">
      <c r="C648" s="12"/>
    </row>
    <row r="649" spans="3:3" x14ac:dyDescent="0.2">
      <c r="C649" s="12"/>
    </row>
    <row r="650" spans="3:3" x14ac:dyDescent="0.2">
      <c r="C650" s="12"/>
    </row>
    <row r="651" spans="3:3" x14ac:dyDescent="0.2">
      <c r="C651" s="12"/>
    </row>
    <row r="652" spans="3:3" x14ac:dyDescent="0.2">
      <c r="C652" s="12"/>
    </row>
    <row r="653" spans="3:3" x14ac:dyDescent="0.2">
      <c r="C653" s="12"/>
    </row>
    <row r="654" spans="3:3" x14ac:dyDescent="0.2">
      <c r="C654" s="12"/>
    </row>
    <row r="655" spans="3:3" x14ac:dyDescent="0.2">
      <c r="C655" s="12"/>
    </row>
    <row r="656" spans="3:3" x14ac:dyDescent="0.2">
      <c r="C656" s="12"/>
    </row>
    <row r="657" spans="3:3" x14ac:dyDescent="0.2">
      <c r="C657" s="12"/>
    </row>
    <row r="658" spans="3:3" x14ac:dyDescent="0.2">
      <c r="C658" s="12"/>
    </row>
    <row r="659" spans="3:3" x14ac:dyDescent="0.2">
      <c r="C659" s="12"/>
    </row>
    <row r="660" spans="3:3" x14ac:dyDescent="0.2">
      <c r="C660" s="12"/>
    </row>
    <row r="661" spans="3:3" x14ac:dyDescent="0.2">
      <c r="C661" s="12"/>
    </row>
    <row r="662" spans="3:3" x14ac:dyDescent="0.2">
      <c r="C662" s="12"/>
    </row>
    <row r="663" spans="3:3" x14ac:dyDescent="0.2">
      <c r="C663" s="12"/>
    </row>
    <row r="664" spans="3:3" x14ac:dyDescent="0.2">
      <c r="C664" s="12"/>
    </row>
    <row r="665" spans="3:3" x14ac:dyDescent="0.2">
      <c r="C665" s="12"/>
    </row>
    <row r="666" spans="3:3" x14ac:dyDescent="0.2">
      <c r="C666" s="12"/>
    </row>
    <row r="667" spans="3:3" x14ac:dyDescent="0.2">
      <c r="C667" s="12"/>
    </row>
    <row r="668" spans="3:3" x14ac:dyDescent="0.2">
      <c r="C668" s="12"/>
    </row>
    <row r="669" spans="3:3" x14ac:dyDescent="0.2">
      <c r="C669" s="12"/>
    </row>
    <row r="670" spans="3:3" x14ac:dyDescent="0.2">
      <c r="C670" s="12"/>
    </row>
    <row r="671" spans="3:3" x14ac:dyDescent="0.2">
      <c r="C671" s="12"/>
    </row>
    <row r="672" spans="3:3" x14ac:dyDescent="0.2">
      <c r="C672" s="12"/>
    </row>
    <row r="673" spans="3:3" x14ac:dyDescent="0.2">
      <c r="C673" s="12"/>
    </row>
    <row r="674" spans="3:3" x14ac:dyDescent="0.2">
      <c r="C674" s="12"/>
    </row>
    <row r="675" spans="3:3" x14ac:dyDescent="0.2">
      <c r="C675" s="12"/>
    </row>
    <row r="676" spans="3:3" x14ac:dyDescent="0.2">
      <c r="C676" s="12"/>
    </row>
    <row r="677" spans="3:3" x14ac:dyDescent="0.2">
      <c r="C677" s="12"/>
    </row>
    <row r="678" spans="3:3" x14ac:dyDescent="0.2">
      <c r="C678" s="12"/>
    </row>
    <row r="679" spans="3:3" x14ac:dyDescent="0.2">
      <c r="C679" s="12"/>
    </row>
    <row r="680" spans="3:3" x14ac:dyDescent="0.2">
      <c r="C680" s="12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0000000}">
          <x14:formula1>
            <xm:f>_Flags_!$G$2:$G$6</xm:f>
          </x14:formula1>
          <xm:sqref>M2:M3 R2:S3 P2:P3 J195 V156:V187 R5:S148 M5:M148 P5:P148 J2:J163 J165 J167 J170:J171 J173 J176 J179 J182 J184 J187 J192 V151 V154 Y2:Y195 V2:V148 G2:G149 AB2:AB195</xm:sqref>
        </x14:dataValidation>
        <x14:dataValidation type="list" allowBlank="1" showInputMessage="1" showErrorMessage="1" xr:uid="{00000000-0002-0000-0200-000001000000}">
          <x14:formula1>
            <xm:f>_Flags_!$F$2:$F$9</xm:f>
          </x14:formula1>
          <xm:sqref>O2:O3 F2:F3 U2:U3 I2:I3 X2:X3 L2:L3 AA2:AA195 I5:I148 O5:O148 L5:L148 U5:U148 X5:X148 F5:F195</xm:sqref>
        </x14:dataValidation>
        <x14:dataValidation type="list" allowBlank="1" showInputMessage="1" showErrorMessage="1" xr:uid="{B7B6A2C2-660B-6B46-9CA3-8300491A469C}">
          <x14:formula1>
            <xm:f>_Flags_!$E$2:$E$17</xm:f>
          </x14:formula1>
          <xm:sqref>C2:C680</xm:sqref>
        </x14:dataValidation>
        <x14:dataValidation type="list" allowBlank="1" showInputMessage="1" showErrorMessage="1" xr:uid="{8FB7BF02-FC8C-D446-A32E-BA82D720BAF0}">
          <x14:formula1>
            <xm:f>_NiskinBottles_!$A:$A</xm:f>
          </x14:formula1>
          <xm:sqref>B2:B680</xm:sqref>
        </x14:dataValidation>
        <x14:dataValidation type="list" allowBlank="1" showInputMessage="1" showErrorMessage="1" xr:uid="{55F9DC1D-496A-7945-ABD7-2439C38FBD6E}">
          <x14:formula1>
            <xm:f>CastList!$D:$D</xm:f>
          </x14:formula1>
          <xm:sqref>A2:A680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DA0DE-75AC-6D45-9341-B4EF7947E80C}">
  <sheetPr codeName="Sheet17">
    <tabColor rgb="FF00B050"/>
  </sheetPr>
  <dimension ref="A1:J73"/>
  <sheetViews>
    <sheetView topLeftCell="A9" workbookViewId="0">
      <selection activeCell="J61" sqref="J61:J62"/>
    </sheetView>
  </sheetViews>
  <sheetFormatPr baseColWidth="10" defaultRowHeight="16" x14ac:dyDescent="0.2"/>
  <cols>
    <col min="1" max="1" width="8" bestFit="1" customWidth="1"/>
    <col min="2" max="2" width="16.6640625" bestFit="1" customWidth="1"/>
    <col min="3" max="3" width="17" bestFit="1" customWidth="1"/>
    <col min="4" max="4" width="6.5" customWidth="1"/>
    <col min="5" max="5" width="14.33203125" bestFit="1" customWidth="1"/>
    <col min="6" max="6" width="15.83203125" bestFit="1" customWidth="1"/>
    <col min="7" max="7" width="7.5" bestFit="1" customWidth="1"/>
    <col min="8" max="8" width="7.83203125" bestFit="1" customWidth="1"/>
    <col min="9" max="9" width="10.33203125" bestFit="1" customWidth="1"/>
    <col min="10" max="10" width="51.33203125" bestFit="1" customWidth="1"/>
  </cols>
  <sheetData>
    <row r="1" spans="1:10" ht="17" customHeight="1" x14ac:dyDescent="0.2">
      <c r="A1" s="51" t="s">
        <v>9</v>
      </c>
      <c r="B1" s="51"/>
      <c r="C1" s="51"/>
      <c r="D1" s="51"/>
      <c r="E1" s="51"/>
      <c r="F1" s="51"/>
      <c r="G1" s="51"/>
      <c r="H1" s="51"/>
      <c r="I1" s="51"/>
    </row>
    <row r="2" spans="1:10" x14ac:dyDescent="0.2">
      <c r="A2" s="49" t="s">
        <v>1</v>
      </c>
      <c r="B2" s="49"/>
      <c r="C2" s="50" t="s">
        <v>319</v>
      </c>
      <c r="D2" s="50"/>
      <c r="E2" s="50"/>
      <c r="F2" s="50"/>
      <c r="G2" s="50"/>
      <c r="H2" s="50"/>
      <c r="I2" s="50"/>
    </row>
    <row r="3" spans="1:10" x14ac:dyDescent="0.2">
      <c r="A3" s="49"/>
      <c r="B3" s="49"/>
      <c r="C3" s="50"/>
      <c r="D3" s="50"/>
      <c r="E3" s="50"/>
      <c r="F3" s="50"/>
      <c r="G3" s="50"/>
      <c r="H3" s="50"/>
      <c r="I3" s="50"/>
    </row>
    <row r="4" spans="1:10" x14ac:dyDescent="0.2">
      <c r="A4" s="49"/>
      <c r="B4" s="49"/>
      <c r="C4" s="50"/>
      <c r="D4" s="50"/>
      <c r="E4" s="50"/>
      <c r="F4" s="50"/>
      <c r="G4" s="50"/>
      <c r="H4" s="50"/>
      <c r="I4" s="50"/>
    </row>
    <row r="5" spans="1:10" ht="13" customHeight="1" x14ac:dyDescent="0.2">
      <c r="A5" s="1"/>
      <c r="B5" s="1"/>
    </row>
    <row r="6" spans="1:10" x14ac:dyDescent="0.2">
      <c r="A6" s="44" t="s">
        <v>2</v>
      </c>
      <c r="B6" s="44"/>
      <c r="C6" s="45"/>
      <c r="D6" s="45"/>
      <c r="E6" s="45"/>
      <c r="F6" s="45"/>
      <c r="G6" s="45"/>
      <c r="H6" s="45"/>
      <c r="I6" s="45"/>
    </row>
    <row r="7" spans="1:10" ht="13" customHeight="1" x14ac:dyDescent="0.2"/>
    <row r="8" spans="1:10" ht="13" customHeight="1" x14ac:dyDescent="0.2">
      <c r="A8" s="46" t="s">
        <v>3</v>
      </c>
      <c r="B8" s="46" t="s">
        <v>5</v>
      </c>
      <c r="C8" s="46" t="s">
        <v>16</v>
      </c>
      <c r="D8" s="46" t="s">
        <v>4</v>
      </c>
      <c r="E8" s="47" t="s">
        <v>8</v>
      </c>
      <c r="F8" s="42" t="s">
        <v>211</v>
      </c>
      <c r="G8" s="42" t="s">
        <v>6</v>
      </c>
      <c r="H8" s="42" t="s">
        <v>10</v>
      </c>
      <c r="I8" s="42" t="s">
        <v>7</v>
      </c>
      <c r="J8" s="41" t="s">
        <v>0</v>
      </c>
    </row>
    <row r="9" spans="1:10" ht="15" customHeight="1" x14ac:dyDescent="0.2">
      <c r="A9" s="46"/>
      <c r="B9" s="46"/>
      <c r="C9" s="46"/>
      <c r="D9" s="46"/>
      <c r="E9" s="47"/>
      <c r="F9" s="43"/>
      <c r="G9" s="42"/>
      <c r="H9" s="43"/>
      <c r="I9" s="48"/>
      <c r="J9" s="41"/>
    </row>
    <row r="10" spans="1:10" x14ac:dyDescent="0.2">
      <c r="A10" s="11" t="str" cm="1">
        <f t="array" ref="A10:D59">(_xlfn._xlws.FILTER((SampleList!A2:INDEX(SampleList!D:D, ROWS(SampleList!Z:Z))),(SampleList!Z2:INDEX(SampleList!Z:Z, ROWS(SampleList!Z:Z)))&lt;&gt;""))</f>
        <v>J2-1775</v>
      </c>
      <c r="B10" s="11" t="str">
        <v>Aft</v>
      </c>
      <c r="C10" s="11" t="str">
        <v>No problems noted</v>
      </c>
      <c r="D10" s="11">
        <v>80</v>
      </c>
      <c r="E10" s="11" t="str" cm="1">
        <f t="array" ref="E10:E59">(_xlfn._xlws.FILTER((SampleList!Z2:INDEX(SampleList!Z:Z, ROWS(SampleList!Z:Z))),(SampleList!Z2:INDEX(SampleList!Z:Z, ROWS(SampleList!Z:Z)))&lt;&gt;""))</f>
        <v>CHL-002</v>
      </c>
      <c r="F10" s="29">
        <v>46244.65902777778</v>
      </c>
      <c r="G10" s="20">
        <v>500</v>
      </c>
      <c r="H10" s="20">
        <v>10</v>
      </c>
      <c r="I10" s="20">
        <v>7002</v>
      </c>
      <c r="J10" s="11"/>
    </row>
    <row r="11" spans="1:10" x14ac:dyDescent="0.2">
      <c r="A11" s="11" t="str">
        <v>CTD-001</v>
      </c>
      <c r="B11" s="11">
        <v>6</v>
      </c>
      <c r="C11" s="11" t="str">
        <v>No problems noted</v>
      </c>
      <c r="D11" s="11">
        <v>180</v>
      </c>
      <c r="E11" s="11" t="str">
        <v>CHL-005</v>
      </c>
      <c r="F11" s="29">
        <v>46244.651388888888</v>
      </c>
      <c r="G11" s="20">
        <v>500</v>
      </c>
      <c r="H11" s="20">
        <v>10</v>
      </c>
      <c r="I11" s="20">
        <v>7003</v>
      </c>
      <c r="J11" s="11"/>
    </row>
    <row r="12" spans="1:10" x14ac:dyDescent="0.2">
      <c r="A12" s="11" t="str">
        <v>CTD-001</v>
      </c>
      <c r="B12" s="11">
        <v>10</v>
      </c>
      <c r="C12" s="11" t="str">
        <v>No problems noted</v>
      </c>
      <c r="D12" s="11">
        <v>140</v>
      </c>
      <c r="E12" s="11" t="str">
        <v>CHL-028</v>
      </c>
      <c r="F12" s="29">
        <v>46244.689583333333</v>
      </c>
      <c r="G12" s="20">
        <v>500</v>
      </c>
      <c r="H12" s="20">
        <v>10</v>
      </c>
      <c r="I12" s="20">
        <v>7009</v>
      </c>
      <c r="J12" s="11"/>
    </row>
    <row r="13" spans="1:10" x14ac:dyDescent="0.2">
      <c r="A13" s="11" t="str">
        <v>CTD-001</v>
      </c>
      <c r="B13" s="11">
        <v>12</v>
      </c>
      <c r="C13" s="11" t="str">
        <v>No problems noted</v>
      </c>
      <c r="D13" s="11">
        <v>120</v>
      </c>
      <c r="E13" s="11" t="str">
        <v>CHL-035</v>
      </c>
      <c r="F13" s="29">
        <v>46244.686805555553</v>
      </c>
      <c r="G13" s="20">
        <v>50</v>
      </c>
      <c r="H13" s="20">
        <v>10</v>
      </c>
      <c r="I13" s="20">
        <v>7008</v>
      </c>
      <c r="J13" s="11"/>
    </row>
    <row r="14" spans="1:10" x14ac:dyDescent="0.2">
      <c r="A14" s="11" t="str">
        <v>CTD-001</v>
      </c>
      <c r="B14" s="11">
        <v>16</v>
      </c>
      <c r="C14" s="11" t="str">
        <v>No problems noted</v>
      </c>
      <c r="D14" s="11">
        <v>80</v>
      </c>
      <c r="E14" s="11" t="str">
        <v>CHL-027</v>
      </c>
      <c r="F14" s="29">
        <v>46244.779166666667</v>
      </c>
      <c r="G14" s="20">
        <v>500</v>
      </c>
      <c r="H14" s="20">
        <v>10</v>
      </c>
      <c r="I14" s="20">
        <v>7016</v>
      </c>
      <c r="J14" s="11"/>
    </row>
    <row r="15" spans="1:10" x14ac:dyDescent="0.2">
      <c r="A15" s="11" t="str">
        <v>CTD-001</v>
      </c>
      <c r="B15" s="11">
        <v>18</v>
      </c>
      <c r="C15" s="11" t="str">
        <v>No problems noted</v>
      </c>
      <c r="D15" s="11">
        <v>60</v>
      </c>
      <c r="E15" s="11" t="str">
        <v>CHL-038</v>
      </c>
      <c r="F15" s="29">
        <v>46244.675000000003</v>
      </c>
      <c r="G15" s="20">
        <v>500</v>
      </c>
      <c r="H15" s="20">
        <v>10</v>
      </c>
      <c r="I15" s="20">
        <v>7005</v>
      </c>
      <c r="J15" s="11"/>
    </row>
    <row r="16" spans="1:10" x14ac:dyDescent="0.2">
      <c r="A16" s="11" t="str">
        <v>CTD-001</v>
      </c>
      <c r="B16" s="11">
        <v>20</v>
      </c>
      <c r="C16" s="11" t="str">
        <v>No problems noted</v>
      </c>
      <c r="D16" s="11">
        <v>40</v>
      </c>
      <c r="E16" s="11" t="str">
        <v>CHL-012</v>
      </c>
      <c r="F16" s="29">
        <v>46244.765972222223</v>
      </c>
      <c r="G16" s="20">
        <v>500</v>
      </c>
      <c r="H16" s="20">
        <v>7</v>
      </c>
      <c r="I16" s="20">
        <v>7012</v>
      </c>
      <c r="J16" s="11"/>
    </row>
    <row r="17" spans="1:10" x14ac:dyDescent="0.2">
      <c r="A17" s="11" t="str">
        <v>CTD-001</v>
      </c>
      <c r="B17" s="11">
        <v>22</v>
      </c>
      <c r="C17" s="11" t="str">
        <v>No problems noted</v>
      </c>
      <c r="D17" s="11">
        <v>20</v>
      </c>
      <c r="E17" s="11" t="str">
        <v>CHL-013</v>
      </c>
      <c r="F17" s="29">
        <v>46244.775694444441</v>
      </c>
      <c r="G17" s="20">
        <v>500</v>
      </c>
      <c r="H17" s="20">
        <v>10</v>
      </c>
      <c r="I17" s="20">
        <v>7015</v>
      </c>
      <c r="J17" s="11"/>
    </row>
    <row r="18" spans="1:10" x14ac:dyDescent="0.2">
      <c r="A18" s="11" t="str">
        <v>CTD-001</v>
      </c>
      <c r="B18" s="11">
        <v>24</v>
      </c>
      <c r="C18" s="11" t="str">
        <v>No problems noted</v>
      </c>
      <c r="D18" s="11">
        <v>10</v>
      </c>
      <c r="E18" s="11" t="str">
        <v>CHL-037</v>
      </c>
      <c r="F18" s="29">
        <v>46244.67083333333</v>
      </c>
      <c r="G18" s="20">
        <v>500</v>
      </c>
      <c r="H18" s="20">
        <v>10</v>
      </c>
      <c r="I18" s="20">
        <v>7004</v>
      </c>
      <c r="J18" s="11"/>
    </row>
    <row r="19" spans="1:10" x14ac:dyDescent="0.2">
      <c r="A19" s="11" t="str">
        <v>CTD-002</v>
      </c>
      <c r="B19" s="11">
        <v>1</v>
      </c>
      <c r="C19" s="11" t="str">
        <v>No problems noted</v>
      </c>
      <c r="D19" s="11">
        <v>590</v>
      </c>
      <c r="E19" s="11" t="str">
        <v>CHL-021</v>
      </c>
      <c r="F19" s="29">
        <v>46244.680555555555</v>
      </c>
      <c r="G19" s="20">
        <v>500</v>
      </c>
      <c r="H19" s="20">
        <v>10</v>
      </c>
      <c r="I19" s="20">
        <v>7006</v>
      </c>
      <c r="J19" s="11"/>
    </row>
    <row r="20" spans="1:10" x14ac:dyDescent="0.2">
      <c r="A20" s="11" t="str">
        <v>CTD-002</v>
      </c>
      <c r="B20" s="11">
        <v>7</v>
      </c>
      <c r="C20" s="11" t="str">
        <v>No problems noted</v>
      </c>
      <c r="D20" s="11">
        <v>400</v>
      </c>
      <c r="E20" s="11" t="str">
        <v>CHL-003</v>
      </c>
      <c r="F20" s="29">
        <v>46244.785416666666</v>
      </c>
      <c r="G20" s="20">
        <v>500</v>
      </c>
      <c r="H20" s="20">
        <v>10</v>
      </c>
      <c r="I20" s="20">
        <v>7018</v>
      </c>
      <c r="J20" s="11"/>
    </row>
    <row r="21" spans="1:10" x14ac:dyDescent="0.2">
      <c r="A21" s="11" t="str">
        <v>CTD-002</v>
      </c>
      <c r="B21" s="11">
        <v>14</v>
      </c>
      <c r="C21" s="11" t="str">
        <v>No problems noted</v>
      </c>
      <c r="D21" s="11">
        <v>200</v>
      </c>
      <c r="E21" s="11" t="str">
        <v>CHL-015</v>
      </c>
      <c r="F21" s="29">
        <v>46244.694444444445</v>
      </c>
      <c r="G21" s="20">
        <v>500</v>
      </c>
      <c r="H21" s="20">
        <v>10</v>
      </c>
      <c r="I21" s="20">
        <v>7010</v>
      </c>
      <c r="J21" s="11"/>
    </row>
    <row r="22" spans="1:10" x14ac:dyDescent="0.2">
      <c r="A22" s="11" t="str">
        <v>CTD-002</v>
      </c>
      <c r="B22" s="11">
        <v>16</v>
      </c>
      <c r="C22" s="11" t="str">
        <v>No problems noted</v>
      </c>
      <c r="D22" s="11">
        <v>150</v>
      </c>
      <c r="E22" s="11" t="str">
        <v>CHL-004</v>
      </c>
      <c r="F22" s="29">
        <v>46244.779861111114</v>
      </c>
      <c r="G22" s="20">
        <v>500</v>
      </c>
      <c r="H22" s="20">
        <v>10</v>
      </c>
      <c r="I22" s="20">
        <v>7017</v>
      </c>
      <c r="J22" s="11"/>
    </row>
    <row r="23" spans="1:10" x14ac:dyDescent="0.2">
      <c r="A23" s="11" t="str">
        <v>CTD-002</v>
      </c>
      <c r="B23" s="11">
        <v>18</v>
      </c>
      <c r="C23" s="11" t="str">
        <v>No problems noted</v>
      </c>
      <c r="D23" s="11">
        <v>100</v>
      </c>
      <c r="E23" s="11" t="str">
        <v>CHL-039</v>
      </c>
      <c r="F23" s="29">
        <v>46244.696527777778</v>
      </c>
      <c r="G23" s="20">
        <v>500</v>
      </c>
      <c r="H23" s="20">
        <v>10</v>
      </c>
      <c r="I23" s="20">
        <v>7011</v>
      </c>
      <c r="J23" s="11"/>
    </row>
    <row r="24" spans="1:10" x14ac:dyDescent="0.2">
      <c r="A24" s="11" t="str">
        <v>CTD-002</v>
      </c>
      <c r="B24" s="11">
        <v>20</v>
      </c>
      <c r="C24" s="11" t="str">
        <v>No problems noted</v>
      </c>
      <c r="D24" s="11">
        <v>50</v>
      </c>
      <c r="E24" s="11" t="str">
        <v>CHL-011</v>
      </c>
      <c r="F24" s="29">
        <v>46244.68472222222</v>
      </c>
      <c r="G24" s="20">
        <v>500</v>
      </c>
      <c r="H24" s="20">
        <v>7.6</v>
      </c>
      <c r="I24" s="20">
        <v>7007</v>
      </c>
      <c r="J24" s="11"/>
    </row>
    <row r="25" spans="1:10" x14ac:dyDescent="0.2">
      <c r="A25" s="11" t="str">
        <v>CTD-002</v>
      </c>
      <c r="B25" s="11">
        <v>22</v>
      </c>
      <c r="C25" s="11" t="str">
        <v>No problems noted</v>
      </c>
      <c r="D25" s="11">
        <v>20</v>
      </c>
      <c r="E25" s="11" t="str">
        <v>CHL-020</v>
      </c>
      <c r="F25" s="29">
        <v>46244.767361111109</v>
      </c>
      <c r="G25" s="20">
        <v>500</v>
      </c>
      <c r="H25" s="20">
        <v>10</v>
      </c>
      <c r="I25" s="20">
        <v>7013</v>
      </c>
      <c r="J25" s="11"/>
    </row>
    <row r="26" spans="1:10" x14ac:dyDescent="0.2">
      <c r="A26" s="11" t="str">
        <v>CTD-002</v>
      </c>
      <c r="B26" s="11">
        <v>24</v>
      </c>
      <c r="C26" s="11" t="str">
        <v>No problems noted</v>
      </c>
      <c r="D26" s="11">
        <v>10</v>
      </c>
      <c r="E26" s="11" t="str">
        <v>CHL-031</v>
      </c>
      <c r="F26" s="29">
        <v>46244.771527777775</v>
      </c>
      <c r="G26" s="20">
        <v>500</v>
      </c>
      <c r="H26" s="20">
        <v>10</v>
      </c>
      <c r="I26" s="20">
        <v>7014</v>
      </c>
      <c r="J26" s="11"/>
    </row>
    <row r="27" spans="1:10" x14ac:dyDescent="0.2">
      <c r="A27" s="11" t="str">
        <v>J2-1778</v>
      </c>
      <c r="B27" s="11" t="str">
        <v>Aft</v>
      </c>
      <c r="C27" s="11" t="str">
        <v>No problems noted</v>
      </c>
      <c r="D27" s="11">
        <v>600</v>
      </c>
      <c r="E27" s="11" t="str">
        <v>CHL-018</v>
      </c>
      <c r="F27" s="29">
        <v>46244.649305555555</v>
      </c>
      <c r="G27" s="20">
        <v>500</v>
      </c>
      <c r="H27" s="20">
        <v>7</v>
      </c>
      <c r="I27" s="20">
        <v>7001</v>
      </c>
      <c r="J27" s="11"/>
    </row>
    <row r="28" spans="1:10" x14ac:dyDescent="0.2">
      <c r="A28" s="11" t="str">
        <v>J2-1781</v>
      </c>
      <c r="B28" s="11" t="str">
        <v>Forward</v>
      </c>
      <c r="C28" s="11" t="str">
        <v>No problems noted</v>
      </c>
      <c r="D28" s="11">
        <v>2900</v>
      </c>
      <c r="E28" s="11" t="str">
        <v>CHL-012</v>
      </c>
      <c r="F28" s="29">
        <v>46246.12222222222</v>
      </c>
      <c r="G28" s="20">
        <v>320</v>
      </c>
      <c r="H28" s="20">
        <v>10</v>
      </c>
      <c r="I28" s="20">
        <v>7025</v>
      </c>
      <c r="J28" s="11"/>
    </row>
    <row r="29" spans="1:10" x14ac:dyDescent="0.2">
      <c r="A29" s="11" t="str">
        <v>CTD-003</v>
      </c>
      <c r="B29" s="11">
        <v>2</v>
      </c>
      <c r="C29" s="11" t="str">
        <v>No problems noted</v>
      </c>
      <c r="D29" s="11">
        <v>220</v>
      </c>
      <c r="E29" s="11" t="str">
        <v>CHL-018</v>
      </c>
      <c r="F29" s="29">
        <v>46246.114583333336</v>
      </c>
      <c r="G29" s="20">
        <v>500</v>
      </c>
      <c r="H29" s="20">
        <v>10</v>
      </c>
      <c r="I29" s="20">
        <v>7021</v>
      </c>
      <c r="J29" s="11"/>
    </row>
    <row r="30" spans="1:10" x14ac:dyDescent="0.2">
      <c r="A30" s="11" t="str">
        <v>CTD-003</v>
      </c>
      <c r="B30" s="11">
        <v>6</v>
      </c>
      <c r="C30" s="11" t="str">
        <v>No problems noted</v>
      </c>
      <c r="D30" s="11">
        <v>180</v>
      </c>
      <c r="E30" s="11" t="str">
        <v>CHL-021</v>
      </c>
      <c r="F30" s="29">
        <v>46246.115972222222</v>
      </c>
      <c r="G30" s="20">
        <v>500</v>
      </c>
      <c r="H30" s="20">
        <v>10</v>
      </c>
      <c r="I30" s="20">
        <v>7022</v>
      </c>
      <c r="J30" s="11"/>
    </row>
    <row r="31" spans="1:10" x14ac:dyDescent="0.2">
      <c r="A31" s="11" t="str">
        <v>CTD-003</v>
      </c>
      <c r="B31" s="11">
        <v>10</v>
      </c>
      <c r="C31" s="11" t="str">
        <v>No problems noted</v>
      </c>
      <c r="D31" s="11">
        <v>140</v>
      </c>
      <c r="E31" s="11" t="str">
        <v>CHL-038</v>
      </c>
      <c r="F31" s="29">
        <v>46246.126388888886</v>
      </c>
      <c r="G31" s="20">
        <v>500</v>
      </c>
      <c r="H31" s="20">
        <v>10</v>
      </c>
      <c r="I31" s="20">
        <v>7027</v>
      </c>
      <c r="J31" s="11"/>
    </row>
    <row r="32" spans="1:10" x14ac:dyDescent="0.2">
      <c r="A32" s="11" t="str">
        <v>CTD-003</v>
      </c>
      <c r="B32" s="11">
        <v>16</v>
      </c>
      <c r="C32" s="11" t="str">
        <v>No problems noted</v>
      </c>
      <c r="D32" s="11">
        <v>80</v>
      </c>
      <c r="E32" s="11" t="str">
        <v>CHL-035</v>
      </c>
      <c r="F32" s="29">
        <v>46246.155555555553</v>
      </c>
      <c r="G32" s="20">
        <v>250</v>
      </c>
      <c r="H32" s="20">
        <v>10</v>
      </c>
      <c r="I32" s="20">
        <v>7036</v>
      </c>
      <c r="J32" s="11" t="s">
        <v>481</v>
      </c>
    </row>
    <row r="33" spans="1:10" x14ac:dyDescent="0.2">
      <c r="A33" s="11" t="str">
        <v>CTD-003</v>
      </c>
      <c r="B33" s="11">
        <v>18</v>
      </c>
      <c r="C33" s="11" t="str">
        <v>No problems noted</v>
      </c>
      <c r="D33" s="11">
        <v>60</v>
      </c>
      <c r="E33" s="11" t="str">
        <v>CHL-011</v>
      </c>
      <c r="F33" s="29">
        <v>46246.119444444441</v>
      </c>
      <c r="G33" s="20">
        <v>500</v>
      </c>
      <c r="H33" s="20">
        <v>10</v>
      </c>
      <c r="I33" s="20">
        <v>7023</v>
      </c>
      <c r="J33" s="11"/>
    </row>
    <row r="34" spans="1:10" x14ac:dyDescent="0.2">
      <c r="A34" s="11" t="str">
        <v>CTD-003</v>
      </c>
      <c r="B34" s="11">
        <v>20</v>
      </c>
      <c r="C34" s="11" t="str">
        <v>No problems noted</v>
      </c>
      <c r="D34" s="11">
        <v>40</v>
      </c>
      <c r="E34" s="11" t="str">
        <v>CHL-002</v>
      </c>
      <c r="F34" s="29">
        <v>46246.125694444447</v>
      </c>
      <c r="G34" s="20">
        <v>500</v>
      </c>
      <c r="H34" s="20">
        <v>10</v>
      </c>
      <c r="I34" s="20">
        <v>7026</v>
      </c>
      <c r="J34" s="11"/>
    </row>
    <row r="35" spans="1:10" x14ac:dyDescent="0.2">
      <c r="A35" s="11" t="str">
        <v>CTD-003</v>
      </c>
      <c r="B35" s="11">
        <v>22</v>
      </c>
      <c r="C35" s="11" t="str">
        <v>No problems noted</v>
      </c>
      <c r="D35" s="11">
        <v>20</v>
      </c>
      <c r="E35" s="11" t="str">
        <v>CHL-028</v>
      </c>
      <c r="F35" s="29">
        <v>46246.095833333333</v>
      </c>
      <c r="G35" s="20">
        <v>500</v>
      </c>
      <c r="H35" s="20">
        <v>10</v>
      </c>
      <c r="I35" s="20">
        <v>7020</v>
      </c>
      <c r="J35" s="11"/>
    </row>
    <row r="36" spans="1:10" x14ac:dyDescent="0.2">
      <c r="A36" s="11" t="str">
        <v>CTD-003</v>
      </c>
      <c r="B36" s="11">
        <v>24</v>
      </c>
      <c r="C36" s="11" t="str">
        <v>No problems noted</v>
      </c>
      <c r="D36" s="11">
        <v>10</v>
      </c>
      <c r="E36" s="11" t="str">
        <v>CHL-005</v>
      </c>
      <c r="F36" s="29">
        <v>46246.119444444441</v>
      </c>
      <c r="G36" s="20">
        <v>500</v>
      </c>
      <c r="H36" s="20">
        <v>10</v>
      </c>
      <c r="I36" s="20">
        <v>7024</v>
      </c>
      <c r="J36" s="11"/>
    </row>
    <row r="37" spans="1:10" x14ac:dyDescent="0.2">
      <c r="A37" s="11" t="str">
        <v>CTD-004</v>
      </c>
      <c r="B37" s="11">
        <v>2</v>
      </c>
      <c r="C37" s="11" t="str">
        <v>No problems noted</v>
      </c>
      <c r="D37" s="11">
        <v>2895</v>
      </c>
      <c r="E37" s="11" t="str">
        <v>CHL-037</v>
      </c>
      <c r="F37" s="29">
        <v>46246.131249999999</v>
      </c>
      <c r="G37" s="20">
        <v>500</v>
      </c>
      <c r="H37" s="20">
        <v>10</v>
      </c>
      <c r="I37" s="20">
        <v>7028</v>
      </c>
      <c r="J37" s="11"/>
    </row>
    <row r="38" spans="1:10" x14ac:dyDescent="0.2">
      <c r="A38" s="11" t="str">
        <v>CTD-004</v>
      </c>
      <c r="B38" s="11">
        <v>5</v>
      </c>
      <c r="C38" s="11" t="str">
        <v>No problems noted</v>
      </c>
      <c r="D38" s="11">
        <v>2500</v>
      </c>
      <c r="E38" s="11" t="str">
        <v>CHL-027</v>
      </c>
      <c r="F38" s="29">
        <v>46246.140277777777</v>
      </c>
      <c r="G38" s="20">
        <v>500</v>
      </c>
      <c r="H38" s="20">
        <v>10</v>
      </c>
      <c r="I38" s="20">
        <v>7031</v>
      </c>
      <c r="J38" s="11"/>
    </row>
    <row r="39" spans="1:10" x14ac:dyDescent="0.2">
      <c r="A39" s="11" t="str">
        <v>CTD-004</v>
      </c>
      <c r="B39" s="11">
        <v>8</v>
      </c>
      <c r="C39" s="11" t="str">
        <v>No problems noted</v>
      </c>
      <c r="D39" s="11">
        <v>2000</v>
      </c>
      <c r="E39" s="11" t="str">
        <v>CHL-008</v>
      </c>
      <c r="F39" s="29">
        <v>46246.131944444445</v>
      </c>
      <c r="G39" s="20">
        <v>500</v>
      </c>
      <c r="H39" s="20">
        <v>10</v>
      </c>
      <c r="I39" s="20">
        <v>7029</v>
      </c>
      <c r="J39" s="11"/>
    </row>
    <row r="40" spans="1:10" x14ac:dyDescent="0.2">
      <c r="A40" s="11" t="str">
        <v>CTD-004</v>
      </c>
      <c r="B40" s="11">
        <v>13</v>
      </c>
      <c r="C40" s="11" t="str">
        <v>No problems noted</v>
      </c>
      <c r="D40" s="11">
        <v>500</v>
      </c>
      <c r="E40" s="11" t="str">
        <v>CHL-007</v>
      </c>
      <c r="F40" s="29">
        <v>46246.138888888891</v>
      </c>
      <c r="G40" s="20">
        <v>500</v>
      </c>
      <c r="H40" s="20">
        <v>10</v>
      </c>
      <c r="I40" s="20">
        <v>7030</v>
      </c>
      <c r="J40" s="11"/>
    </row>
    <row r="41" spans="1:10" x14ac:dyDescent="0.2">
      <c r="A41" s="11" t="str">
        <v>CTD-004</v>
      </c>
      <c r="B41" s="11">
        <v>17</v>
      </c>
      <c r="C41" s="11" t="str">
        <v>No problems noted</v>
      </c>
      <c r="D41" s="11">
        <v>100</v>
      </c>
      <c r="E41" s="11" t="str">
        <v>CHL-022</v>
      </c>
      <c r="F41" s="29">
        <v>46246.144444444442</v>
      </c>
      <c r="G41" s="20">
        <v>500</v>
      </c>
      <c r="H41" s="20">
        <v>10</v>
      </c>
      <c r="I41" s="20">
        <v>7034</v>
      </c>
      <c r="J41" s="11"/>
    </row>
    <row r="42" spans="1:10" x14ac:dyDescent="0.2">
      <c r="A42" s="11" t="str">
        <v>CTD-004</v>
      </c>
      <c r="B42" s="11">
        <v>19</v>
      </c>
      <c r="C42" s="11" t="str">
        <v>No problems noted</v>
      </c>
      <c r="D42" s="11">
        <v>50</v>
      </c>
      <c r="E42" s="11" t="str">
        <v>CHL-025</v>
      </c>
      <c r="F42" s="29">
        <v>46246.14166666667</v>
      </c>
      <c r="G42" s="20">
        <v>500</v>
      </c>
      <c r="H42" s="20">
        <v>10</v>
      </c>
      <c r="I42" s="20">
        <v>7033</v>
      </c>
      <c r="J42" s="11"/>
    </row>
    <row r="43" spans="1:10" x14ac:dyDescent="0.2">
      <c r="A43" s="11" t="str">
        <v>CTD-004</v>
      </c>
      <c r="B43" s="11">
        <v>22</v>
      </c>
      <c r="C43" s="11" t="str">
        <v>No problems noted</v>
      </c>
      <c r="D43" s="11">
        <v>30</v>
      </c>
      <c r="E43" s="11" t="str">
        <v>CHL-036</v>
      </c>
      <c r="F43" s="29">
        <v>46246.140277777777</v>
      </c>
      <c r="G43" s="20">
        <v>500</v>
      </c>
      <c r="H43" s="20">
        <v>10</v>
      </c>
      <c r="I43" s="20">
        <v>7032</v>
      </c>
      <c r="J43" s="11"/>
    </row>
    <row r="44" spans="1:10" x14ac:dyDescent="0.2">
      <c r="A44" s="11" t="str">
        <v>CTD-004</v>
      </c>
      <c r="B44" s="11">
        <v>23</v>
      </c>
      <c r="C44" s="11" t="str">
        <v>No problems noted</v>
      </c>
      <c r="D44" s="11">
        <v>10</v>
      </c>
      <c r="E44" s="11" t="str">
        <v>CHL-015</v>
      </c>
      <c r="F44" s="29">
        <v>46246.145833333336</v>
      </c>
      <c r="G44" s="20">
        <v>500</v>
      </c>
      <c r="H44" s="20">
        <v>10</v>
      </c>
      <c r="I44" s="20">
        <v>7035</v>
      </c>
      <c r="J44" s="11"/>
    </row>
    <row r="45" spans="1:10" x14ac:dyDescent="0.2">
      <c r="A45" s="11" t="str">
        <v>CTD-005</v>
      </c>
      <c r="B45" s="11">
        <v>8</v>
      </c>
      <c r="C45" s="11" t="str">
        <v>No problems noted</v>
      </c>
      <c r="D45" s="11">
        <v>2000</v>
      </c>
      <c r="E45" s="11" t="str">
        <v>CHL-028</v>
      </c>
      <c r="F45" s="29">
        <v>46247.368750000001</v>
      </c>
      <c r="G45" s="20">
        <v>500</v>
      </c>
      <c r="H45" s="20">
        <v>10</v>
      </c>
      <c r="I45" s="20">
        <v>7041</v>
      </c>
      <c r="J45" s="11"/>
    </row>
    <row r="46" spans="1:10" x14ac:dyDescent="0.2">
      <c r="A46" s="11" t="str">
        <v>CTD-005</v>
      </c>
      <c r="B46" s="11">
        <v>12</v>
      </c>
      <c r="C46" s="11" t="str">
        <v>No problems noted</v>
      </c>
      <c r="D46" s="11">
        <v>1500</v>
      </c>
      <c r="E46" s="11" t="str">
        <v>CHL-008</v>
      </c>
      <c r="F46" s="29">
        <v>46247.357638888891</v>
      </c>
      <c r="G46" s="20">
        <v>500</v>
      </c>
      <c r="H46" s="20">
        <v>10</v>
      </c>
      <c r="I46" s="20">
        <v>7038</v>
      </c>
      <c r="J46" s="11"/>
    </row>
    <row r="47" spans="1:10" x14ac:dyDescent="0.2">
      <c r="A47" s="11" t="str">
        <v>CTD-005</v>
      </c>
      <c r="B47" s="11">
        <v>16</v>
      </c>
      <c r="C47" s="11" t="str">
        <v>No problems noted</v>
      </c>
      <c r="D47" s="11">
        <v>1000</v>
      </c>
      <c r="E47" s="11" t="str">
        <v>CHL-018</v>
      </c>
      <c r="F47" s="29">
        <v>46247.374305555553</v>
      </c>
      <c r="G47" s="20">
        <v>500</v>
      </c>
      <c r="H47" s="20">
        <v>10</v>
      </c>
      <c r="I47" s="20">
        <v>7042</v>
      </c>
      <c r="J47" s="11"/>
    </row>
    <row r="48" spans="1:10" x14ac:dyDescent="0.2">
      <c r="A48" s="11" t="str">
        <v>CTD-005</v>
      </c>
      <c r="B48" s="11">
        <v>18</v>
      </c>
      <c r="C48" s="11" t="str">
        <v>No problems noted</v>
      </c>
      <c r="D48" s="11">
        <v>500</v>
      </c>
      <c r="E48" s="11" t="str">
        <v>CHL-025</v>
      </c>
      <c r="F48" s="29">
        <v>46247.363194444442</v>
      </c>
      <c r="G48" s="20">
        <v>500</v>
      </c>
      <c r="H48" s="20">
        <v>10</v>
      </c>
      <c r="I48" s="20">
        <v>7039</v>
      </c>
      <c r="J48" s="11"/>
    </row>
    <row r="49" spans="1:10" x14ac:dyDescent="0.2">
      <c r="A49" s="11" t="str">
        <v>CTD-005</v>
      </c>
      <c r="B49" s="11">
        <v>20</v>
      </c>
      <c r="C49" s="11" t="str">
        <v>No problems noted</v>
      </c>
      <c r="D49" s="11">
        <v>500</v>
      </c>
      <c r="E49" s="11" t="str">
        <v>CHL-011</v>
      </c>
      <c r="F49" s="29">
        <v>46247.368055555555</v>
      </c>
      <c r="G49" s="20">
        <v>500</v>
      </c>
      <c r="H49" s="20">
        <v>10</v>
      </c>
      <c r="I49" s="20">
        <v>7040</v>
      </c>
      <c r="J49" s="11"/>
    </row>
    <row r="50" spans="1:10" x14ac:dyDescent="0.2">
      <c r="A50" s="11" t="str">
        <v>CTD-005</v>
      </c>
      <c r="B50" s="11">
        <v>22</v>
      </c>
      <c r="C50" s="11" t="str">
        <v>No problems noted</v>
      </c>
      <c r="D50" s="11">
        <v>300</v>
      </c>
      <c r="E50" s="11" t="str">
        <v>CHL-038</v>
      </c>
      <c r="F50" s="29">
        <v>46247.375</v>
      </c>
      <c r="G50" s="20">
        <v>500</v>
      </c>
      <c r="H50" s="20">
        <v>10</v>
      </c>
      <c r="I50" s="20">
        <v>7043</v>
      </c>
      <c r="J50" s="11"/>
    </row>
    <row r="51" spans="1:10" x14ac:dyDescent="0.2">
      <c r="A51" s="11" t="str">
        <v>CTD-005</v>
      </c>
      <c r="B51" s="11">
        <v>24</v>
      </c>
      <c r="C51" s="11" t="str">
        <v>No problems noted</v>
      </c>
      <c r="D51" s="11">
        <v>200</v>
      </c>
      <c r="E51" s="11" t="str">
        <v>CHL-036</v>
      </c>
      <c r="F51" s="29">
        <v>46247.354166666664</v>
      </c>
      <c r="G51" s="20">
        <v>500</v>
      </c>
      <c r="H51" s="20">
        <v>10</v>
      </c>
      <c r="I51" s="20">
        <v>7037</v>
      </c>
      <c r="J51" s="11"/>
    </row>
    <row r="52" spans="1:10" x14ac:dyDescent="0.2">
      <c r="A52" s="11" t="str">
        <v>CTD-006</v>
      </c>
      <c r="B52" s="11">
        <v>2</v>
      </c>
      <c r="C52" s="11" t="str">
        <v>No problems noted</v>
      </c>
      <c r="D52" s="11">
        <v>220</v>
      </c>
      <c r="E52" s="11" t="str">
        <v>CHL-005</v>
      </c>
      <c r="F52" s="29">
        <v>46247.380555555559</v>
      </c>
      <c r="G52" s="20">
        <v>500</v>
      </c>
      <c r="H52" s="20">
        <v>10</v>
      </c>
      <c r="I52" s="20">
        <v>7044</v>
      </c>
      <c r="J52" s="11"/>
    </row>
    <row r="53" spans="1:10" x14ac:dyDescent="0.2">
      <c r="A53" s="11" t="str">
        <v>CTD-006</v>
      </c>
      <c r="B53" s="11">
        <v>6</v>
      </c>
      <c r="C53" s="11" t="str">
        <v>No problems noted</v>
      </c>
      <c r="D53" s="11">
        <v>180</v>
      </c>
      <c r="E53" s="11" t="str">
        <v>CHL-027</v>
      </c>
      <c r="F53" s="29">
        <v>46247.392361111109</v>
      </c>
      <c r="G53" s="20">
        <v>500</v>
      </c>
      <c r="H53" s="20">
        <v>10</v>
      </c>
      <c r="I53" s="20">
        <v>7048</v>
      </c>
      <c r="J53" s="11"/>
    </row>
    <row r="54" spans="1:10" x14ac:dyDescent="0.2">
      <c r="A54" s="11" t="str">
        <v>CTD-006</v>
      </c>
      <c r="B54" s="11">
        <v>10</v>
      </c>
      <c r="C54" s="11" t="str">
        <v>No problems noted</v>
      </c>
      <c r="D54" s="11">
        <v>140</v>
      </c>
      <c r="E54" s="11" t="str">
        <v>CHL-022</v>
      </c>
      <c r="F54" s="29">
        <v>46247.392361111109</v>
      </c>
      <c r="G54" s="20">
        <v>500</v>
      </c>
      <c r="H54" s="20">
        <v>10</v>
      </c>
      <c r="I54" s="20">
        <v>7047</v>
      </c>
      <c r="J54" s="11"/>
    </row>
    <row r="55" spans="1:10" x14ac:dyDescent="0.2">
      <c r="A55" s="11" t="str">
        <v>CTD-006</v>
      </c>
      <c r="B55" s="11">
        <v>16</v>
      </c>
      <c r="C55" s="11" t="str">
        <v>No problems noted</v>
      </c>
      <c r="D55" s="11">
        <v>80</v>
      </c>
      <c r="E55" s="11" t="str">
        <v>CHL-035</v>
      </c>
      <c r="F55" s="29">
        <v>46247.401388888888</v>
      </c>
      <c r="G55" s="20">
        <v>500</v>
      </c>
      <c r="H55" s="20">
        <v>10</v>
      </c>
      <c r="I55" s="20">
        <v>7051</v>
      </c>
      <c r="J55" s="11"/>
    </row>
    <row r="56" spans="1:10" x14ac:dyDescent="0.2">
      <c r="A56" s="11" t="str">
        <v>CTD-006</v>
      </c>
      <c r="B56" s="11">
        <v>18</v>
      </c>
      <c r="C56" s="11" t="str">
        <v>No problems noted</v>
      </c>
      <c r="D56" s="11">
        <v>60</v>
      </c>
      <c r="E56" s="11" t="str">
        <v>CHL-007</v>
      </c>
      <c r="F56" s="29">
        <v>46247.383333333331</v>
      </c>
      <c r="G56" s="20">
        <v>500</v>
      </c>
      <c r="H56" s="20">
        <v>10</v>
      </c>
      <c r="I56" s="20">
        <v>7045</v>
      </c>
      <c r="J56" s="11"/>
    </row>
    <row r="57" spans="1:10" x14ac:dyDescent="0.2">
      <c r="A57" s="11" t="str">
        <v>CTD-006</v>
      </c>
      <c r="B57" s="11">
        <v>20</v>
      </c>
      <c r="C57" s="11" t="str">
        <v>No problems noted</v>
      </c>
      <c r="D57" s="11">
        <v>40</v>
      </c>
      <c r="E57" s="11" t="str">
        <v>CHL-012</v>
      </c>
      <c r="F57" s="29">
        <v>46247.386805555558</v>
      </c>
      <c r="G57" s="20">
        <v>500</v>
      </c>
      <c r="H57" s="20">
        <v>10</v>
      </c>
      <c r="I57" s="20">
        <v>7046</v>
      </c>
      <c r="J57" s="11"/>
    </row>
    <row r="58" spans="1:10" x14ac:dyDescent="0.2">
      <c r="A58" s="11" t="str">
        <v>CTD-006</v>
      </c>
      <c r="B58" s="11">
        <v>22</v>
      </c>
      <c r="C58" s="11" t="str">
        <v>No problems noted</v>
      </c>
      <c r="D58" s="11">
        <v>20</v>
      </c>
      <c r="E58" s="11" t="str">
        <v>CHL-004</v>
      </c>
      <c r="F58" s="29">
        <v>46247.399305555555</v>
      </c>
      <c r="G58" s="20">
        <v>500</v>
      </c>
      <c r="H58" s="20">
        <v>10</v>
      </c>
      <c r="I58" s="20">
        <v>7049</v>
      </c>
      <c r="J58" s="11"/>
    </row>
    <row r="59" spans="1:10" x14ac:dyDescent="0.2">
      <c r="A59" s="11" t="str">
        <v>CTD-006</v>
      </c>
      <c r="B59" s="11">
        <v>24</v>
      </c>
      <c r="C59" s="11" t="str">
        <v>No problems noted</v>
      </c>
      <c r="D59" s="11">
        <v>10</v>
      </c>
      <c r="E59" s="11" t="str">
        <v>CHL-031</v>
      </c>
      <c r="F59" s="29">
        <v>46247.400694444441</v>
      </c>
      <c r="G59" s="20">
        <v>500</v>
      </c>
      <c r="H59" s="20">
        <v>10</v>
      </c>
      <c r="I59" s="20">
        <v>7050</v>
      </c>
      <c r="J59" s="11"/>
    </row>
    <row r="60" spans="1:10" x14ac:dyDescent="0.2">
      <c r="A60" s="11"/>
      <c r="B60" s="11"/>
      <c r="C60" s="11"/>
      <c r="D60" s="11"/>
      <c r="E60" s="11"/>
      <c r="F60" s="29"/>
      <c r="G60" s="20"/>
      <c r="H60" s="20"/>
      <c r="I60" s="20"/>
      <c r="J60" s="11"/>
    </row>
    <row r="61" spans="1:10" x14ac:dyDescent="0.2">
      <c r="A61" s="11"/>
      <c r="B61" s="11"/>
      <c r="C61" s="11"/>
      <c r="D61" s="11"/>
      <c r="E61" s="11"/>
      <c r="F61" s="29"/>
      <c r="G61" s="20"/>
      <c r="H61" s="20"/>
      <c r="I61" s="20"/>
      <c r="J61" s="11"/>
    </row>
    <row r="62" spans="1:10" x14ac:dyDescent="0.2">
      <c r="A62" s="11"/>
      <c r="B62" s="11"/>
      <c r="C62" s="11"/>
      <c r="D62" s="11"/>
      <c r="E62" s="11"/>
      <c r="F62" s="20"/>
      <c r="G62" s="20"/>
      <c r="H62" s="20"/>
      <c r="I62" s="20"/>
      <c r="J62" s="11"/>
    </row>
    <row r="63" spans="1:10" x14ac:dyDescent="0.2">
      <c r="A63" s="11"/>
      <c r="B63" s="11"/>
      <c r="C63" s="11"/>
      <c r="D63" s="11"/>
      <c r="E63" s="11"/>
      <c r="F63" s="20"/>
      <c r="G63" s="20"/>
      <c r="H63" s="20"/>
      <c r="I63" s="20"/>
      <c r="J63" s="11"/>
    </row>
    <row r="64" spans="1:10" x14ac:dyDescent="0.2">
      <c r="A64" s="11"/>
      <c r="B64" s="11"/>
      <c r="C64" s="11"/>
      <c r="D64" s="11"/>
      <c r="E64" s="11"/>
      <c r="F64" s="20"/>
      <c r="G64" s="20"/>
      <c r="H64" s="20"/>
      <c r="I64" s="20"/>
      <c r="J64" s="11"/>
    </row>
    <row r="65" spans="1:10" x14ac:dyDescent="0.2">
      <c r="A65" s="11"/>
      <c r="B65" s="11"/>
      <c r="C65" s="11"/>
      <c r="D65" s="11"/>
      <c r="E65" s="11"/>
      <c r="F65" s="20"/>
      <c r="G65" s="20"/>
      <c r="H65" s="20"/>
      <c r="I65" s="20"/>
      <c r="J65" s="11"/>
    </row>
    <row r="66" spans="1:10" x14ac:dyDescent="0.2">
      <c r="A66" s="11"/>
      <c r="B66" s="11"/>
      <c r="C66" s="11"/>
      <c r="D66" s="11"/>
      <c r="E66" s="11"/>
      <c r="F66" s="20"/>
      <c r="G66" s="20"/>
      <c r="H66" s="20"/>
      <c r="I66" s="20"/>
      <c r="J66" s="11"/>
    </row>
    <row r="67" spans="1:10" x14ac:dyDescent="0.2">
      <c r="A67" s="11"/>
      <c r="B67" s="11"/>
      <c r="C67" s="11"/>
      <c r="D67" s="11"/>
      <c r="E67" s="11"/>
      <c r="F67" s="20"/>
      <c r="G67" s="20"/>
      <c r="H67" s="20"/>
      <c r="I67" s="20"/>
      <c r="J67" s="11"/>
    </row>
    <row r="68" spans="1:10" x14ac:dyDescent="0.2">
      <c r="A68" s="11"/>
      <c r="B68" s="11"/>
      <c r="C68" s="11"/>
      <c r="D68" s="11"/>
      <c r="E68" s="11"/>
      <c r="F68" s="20"/>
      <c r="G68" s="20"/>
      <c r="H68" s="20"/>
      <c r="I68" s="20"/>
      <c r="J68" s="11"/>
    </row>
    <row r="69" spans="1:10" x14ac:dyDescent="0.2">
      <c r="A69" s="11"/>
      <c r="B69" s="11"/>
      <c r="C69" s="11"/>
      <c r="D69" s="11"/>
      <c r="E69" s="11"/>
      <c r="F69" s="20"/>
      <c r="G69" s="20"/>
      <c r="H69" s="20"/>
      <c r="I69" s="20"/>
      <c r="J69" s="11"/>
    </row>
    <row r="70" spans="1:10" x14ac:dyDescent="0.2">
      <c r="A70" s="11"/>
      <c r="B70" s="11"/>
      <c r="C70" s="11"/>
      <c r="D70" s="11"/>
      <c r="E70" s="11"/>
      <c r="F70" s="20"/>
      <c r="G70" s="20"/>
      <c r="H70" s="20"/>
      <c r="I70" s="20"/>
      <c r="J70" s="11"/>
    </row>
    <row r="71" spans="1:10" x14ac:dyDescent="0.2">
      <c r="A71" s="11"/>
      <c r="B71" s="11"/>
      <c r="C71" s="11"/>
      <c r="D71" s="11"/>
      <c r="E71" s="11"/>
      <c r="F71" s="20"/>
      <c r="G71" s="20"/>
      <c r="H71" s="20"/>
      <c r="I71" s="20"/>
      <c r="J71" s="11"/>
    </row>
    <row r="72" spans="1:10" x14ac:dyDescent="0.2">
      <c r="A72" s="11"/>
      <c r="B72" s="11"/>
      <c r="C72" s="11"/>
      <c r="D72" s="11"/>
      <c r="E72" s="11"/>
      <c r="F72" s="20"/>
      <c r="G72" s="20"/>
      <c r="H72" s="20"/>
      <c r="I72" s="20"/>
      <c r="J72" s="11"/>
    </row>
    <row r="73" spans="1:10" x14ac:dyDescent="0.2">
      <c r="F73" s="20"/>
      <c r="G73" s="20"/>
      <c r="H73" s="20"/>
      <c r="I73" s="20"/>
    </row>
  </sheetData>
  <mergeCells count="19">
    <mergeCell ref="A4:B4"/>
    <mergeCell ref="C4:I4"/>
    <mergeCell ref="A1:I1"/>
    <mergeCell ref="A2:B2"/>
    <mergeCell ref="C2:I2"/>
    <mergeCell ref="A3:B3"/>
    <mergeCell ref="C3:I3"/>
    <mergeCell ref="J8:J9"/>
    <mergeCell ref="F8:F9"/>
    <mergeCell ref="A6:B6"/>
    <mergeCell ref="C6:I6"/>
    <mergeCell ref="A8:A9"/>
    <mergeCell ref="B8:B9"/>
    <mergeCell ref="C8:C9"/>
    <mergeCell ref="D8:D9"/>
    <mergeCell ref="E8:E9"/>
    <mergeCell ref="G8:G9"/>
    <mergeCell ref="H8:H9"/>
    <mergeCell ref="I8:I9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364117-B600-D143-83F4-B47CBBFE6860}">
          <x14:formula1>
            <xm:f>CastList!$A$2</xm:f>
          </x14:formula1>
          <xm:sqref>C2:I2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B10"/>
  <sheetViews>
    <sheetView workbookViewId="0">
      <selection activeCell="B17" sqref="B17"/>
    </sheetView>
  </sheetViews>
  <sheetFormatPr baseColWidth="10" defaultRowHeight="16" x14ac:dyDescent="0.2"/>
  <cols>
    <col min="1" max="1" width="26.1640625" bestFit="1" customWidth="1"/>
    <col min="2" max="2" width="52.83203125" bestFit="1" customWidth="1"/>
  </cols>
  <sheetData>
    <row r="1" spans="1:2" x14ac:dyDescent="0.2">
      <c r="A1" t="s">
        <v>127</v>
      </c>
      <c r="B1" s="7" t="s">
        <v>128</v>
      </c>
    </row>
    <row r="2" spans="1:2" x14ac:dyDescent="0.2">
      <c r="A2" t="s">
        <v>118</v>
      </c>
      <c r="B2" t="s">
        <v>218</v>
      </c>
    </row>
    <row r="3" spans="1:2" x14ac:dyDescent="0.2">
      <c r="A3" t="s">
        <v>119</v>
      </c>
      <c r="B3" t="s">
        <v>218</v>
      </c>
    </row>
    <row r="4" spans="1:2" x14ac:dyDescent="0.2">
      <c r="A4" t="s">
        <v>120</v>
      </c>
      <c r="B4" t="s">
        <v>218</v>
      </c>
    </row>
    <row r="5" spans="1:2" x14ac:dyDescent="0.2">
      <c r="A5" t="s">
        <v>121</v>
      </c>
      <c r="B5" t="s">
        <v>218</v>
      </c>
    </row>
    <row r="6" spans="1:2" x14ac:dyDescent="0.2">
      <c r="A6" t="s">
        <v>122</v>
      </c>
      <c r="B6" t="s">
        <v>218</v>
      </c>
    </row>
    <row r="7" spans="1:2" x14ac:dyDescent="0.2">
      <c r="A7" t="s">
        <v>123</v>
      </c>
      <c r="B7" t="s">
        <v>218</v>
      </c>
    </row>
    <row r="8" spans="1:2" x14ac:dyDescent="0.2">
      <c r="A8" t="s">
        <v>124</v>
      </c>
      <c r="B8" t="s">
        <v>218</v>
      </c>
    </row>
    <row r="9" spans="1:2" x14ac:dyDescent="0.2">
      <c r="A9" t="s">
        <v>125</v>
      </c>
      <c r="B9" t="s">
        <v>40</v>
      </c>
    </row>
    <row r="10" spans="1:2" x14ac:dyDescent="0.2">
      <c r="A10" t="s">
        <v>126</v>
      </c>
      <c r="B10" t="s">
        <v>218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_Flags_!$D$2:$D$9</xm:f>
          </x14:formula1>
          <xm:sqref>B2:B10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rgb="FF002060"/>
  </sheetPr>
  <dimension ref="A1:B4"/>
  <sheetViews>
    <sheetView workbookViewId="0"/>
  </sheetViews>
  <sheetFormatPr baseColWidth="10" defaultRowHeight="16" x14ac:dyDescent="0.2"/>
  <cols>
    <col min="1" max="1" width="26.1640625" bestFit="1" customWidth="1"/>
    <col min="2" max="2" width="22.5" bestFit="1" customWidth="1"/>
  </cols>
  <sheetData>
    <row r="1" spans="1:2" x14ac:dyDescent="0.2">
      <c r="A1" t="s">
        <v>127</v>
      </c>
      <c r="B1" s="7" t="s">
        <v>128</v>
      </c>
    </row>
    <row r="2" spans="1:2" x14ac:dyDescent="0.2">
      <c r="A2" t="s">
        <v>118</v>
      </c>
      <c r="B2" t="s">
        <v>40</v>
      </c>
    </row>
    <row r="3" spans="1:2" x14ac:dyDescent="0.2">
      <c r="A3" t="s">
        <v>119</v>
      </c>
      <c r="B3" t="s">
        <v>40</v>
      </c>
    </row>
    <row r="4" spans="1:2" x14ac:dyDescent="0.2">
      <c r="A4" t="s">
        <v>121</v>
      </c>
      <c r="B4" t="s">
        <v>40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_Flags_!$D$2:$D$9</xm:f>
          </x14:formula1>
          <xm:sqref>B2:B4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0070C0"/>
  </sheetPr>
  <dimension ref="A1:G37"/>
  <sheetViews>
    <sheetView workbookViewId="0"/>
  </sheetViews>
  <sheetFormatPr baseColWidth="10" defaultColWidth="11" defaultRowHeight="16" x14ac:dyDescent="0.2"/>
  <cols>
    <col min="1" max="1" width="10.5" bestFit="1" customWidth="1"/>
    <col min="2" max="2" width="47" bestFit="1" customWidth="1"/>
    <col min="3" max="3" width="23.33203125" customWidth="1"/>
    <col min="4" max="4" width="27.5" customWidth="1"/>
    <col min="5" max="5" width="26.5" customWidth="1"/>
    <col min="6" max="6" width="33.6640625" customWidth="1"/>
    <col min="7" max="7" width="40.6640625" customWidth="1"/>
  </cols>
  <sheetData>
    <row r="1" spans="1:7" ht="17" x14ac:dyDescent="0.25">
      <c r="A1" s="4" t="s">
        <v>85</v>
      </c>
      <c r="B1" s="3" t="s">
        <v>86</v>
      </c>
      <c r="C1" s="3" t="s">
        <v>87</v>
      </c>
      <c r="D1" s="3" t="s">
        <v>88</v>
      </c>
      <c r="E1" s="3" t="s">
        <v>89</v>
      </c>
      <c r="F1" s="3" t="s">
        <v>90</v>
      </c>
      <c r="G1" s="3" t="s">
        <v>91</v>
      </c>
    </row>
    <row r="2" spans="1:7" ht="18" x14ac:dyDescent="0.25">
      <c r="A2" s="5">
        <v>0</v>
      </c>
      <c r="B2" s="6" t="s">
        <v>18</v>
      </c>
      <c r="C2" s="6" t="s">
        <v>18</v>
      </c>
      <c r="D2" s="6" t="s">
        <v>18</v>
      </c>
      <c r="E2" s="6" t="s">
        <v>18</v>
      </c>
      <c r="F2" s="6" t="s">
        <v>18</v>
      </c>
      <c r="G2" s="6" t="s">
        <v>18</v>
      </c>
    </row>
    <row r="3" spans="1:7" ht="52" x14ac:dyDescent="0.25">
      <c r="A3" s="5">
        <v>1</v>
      </c>
      <c r="B3" s="6" t="s">
        <v>19</v>
      </c>
      <c r="C3" s="6" t="s">
        <v>33</v>
      </c>
      <c r="D3" s="6" t="s">
        <v>39</v>
      </c>
      <c r="E3" s="6" t="s">
        <v>46</v>
      </c>
      <c r="F3" s="6" t="s">
        <v>92</v>
      </c>
      <c r="G3" s="6" t="s">
        <v>57</v>
      </c>
    </row>
    <row r="4" spans="1:7" ht="35" x14ac:dyDescent="0.25">
      <c r="A4" s="5">
        <v>2</v>
      </c>
      <c r="B4" s="6" t="s">
        <v>20</v>
      </c>
      <c r="C4" s="6" t="s">
        <v>34</v>
      </c>
      <c r="D4" s="6" t="s">
        <v>40</v>
      </c>
      <c r="E4" s="6" t="s">
        <v>47</v>
      </c>
      <c r="F4" s="6" t="s">
        <v>54</v>
      </c>
      <c r="G4" s="6" t="s">
        <v>58</v>
      </c>
    </row>
    <row r="5" spans="1:7" ht="35" x14ac:dyDescent="0.25">
      <c r="A5" s="5">
        <v>3</v>
      </c>
      <c r="B5" s="6" t="s">
        <v>21</v>
      </c>
      <c r="C5" s="6" t="s">
        <v>35</v>
      </c>
      <c r="D5" s="6" t="s">
        <v>41</v>
      </c>
      <c r="E5" s="6" t="s">
        <v>48</v>
      </c>
      <c r="F5" s="6" t="s">
        <v>41</v>
      </c>
      <c r="G5" s="6" t="s">
        <v>59</v>
      </c>
    </row>
    <row r="6" spans="1:7" ht="35" x14ac:dyDescent="0.25">
      <c r="A6" s="5">
        <v>4</v>
      </c>
      <c r="B6" s="6" t="s">
        <v>22</v>
      </c>
      <c r="C6" s="6" t="s">
        <v>36</v>
      </c>
      <c r="D6" s="6" t="s">
        <v>42</v>
      </c>
      <c r="E6" s="6" t="s">
        <v>49</v>
      </c>
      <c r="F6" s="6" t="s">
        <v>42</v>
      </c>
      <c r="G6" s="6" t="s">
        <v>60</v>
      </c>
    </row>
    <row r="7" spans="1:7" ht="35" x14ac:dyDescent="0.25">
      <c r="A7" s="5">
        <v>5</v>
      </c>
      <c r="B7" s="6" t="s">
        <v>23</v>
      </c>
      <c r="C7" s="6" t="s">
        <v>37</v>
      </c>
      <c r="D7" s="6" t="s">
        <v>43</v>
      </c>
      <c r="E7" s="6" t="s">
        <v>50</v>
      </c>
      <c r="F7" s="6" t="s">
        <v>43</v>
      </c>
      <c r="G7" s="6" t="s">
        <v>32</v>
      </c>
    </row>
    <row r="8" spans="1:7" ht="35" x14ac:dyDescent="0.25">
      <c r="A8" s="5">
        <v>6</v>
      </c>
      <c r="B8" s="6" t="s">
        <v>24</v>
      </c>
      <c r="C8" s="6" t="s">
        <v>38</v>
      </c>
      <c r="D8" s="6" t="s">
        <v>44</v>
      </c>
      <c r="E8" s="6" t="s">
        <v>51</v>
      </c>
      <c r="F8" s="6" t="s">
        <v>55</v>
      </c>
      <c r="G8" s="6" t="s">
        <v>32</v>
      </c>
    </row>
    <row r="9" spans="1:7" ht="35" x14ac:dyDescent="0.25">
      <c r="A9" s="5">
        <v>7</v>
      </c>
      <c r="B9" s="6" t="s">
        <v>25</v>
      </c>
      <c r="C9" s="6" t="s">
        <v>32</v>
      </c>
      <c r="D9" s="6" t="s">
        <v>45</v>
      </c>
      <c r="E9" s="6" t="s">
        <v>52</v>
      </c>
      <c r="F9" s="6" t="s">
        <v>56</v>
      </c>
      <c r="G9" s="6" t="s">
        <v>32</v>
      </c>
    </row>
    <row r="10" spans="1:7" ht="18" x14ac:dyDescent="0.25">
      <c r="A10" s="5">
        <v>8</v>
      </c>
      <c r="B10" s="6" t="s">
        <v>26</v>
      </c>
      <c r="C10" s="6" t="s">
        <v>32</v>
      </c>
      <c r="D10" s="6" t="s">
        <v>32</v>
      </c>
      <c r="E10" s="6" t="s">
        <v>32</v>
      </c>
      <c r="F10" s="6" t="s">
        <v>32</v>
      </c>
      <c r="G10" s="6" t="s">
        <v>32</v>
      </c>
    </row>
    <row r="11" spans="1:7" ht="35" x14ac:dyDescent="0.25">
      <c r="A11" s="5">
        <v>9</v>
      </c>
      <c r="B11" s="6" t="s">
        <v>27</v>
      </c>
      <c r="C11" s="6" t="s">
        <v>32</v>
      </c>
      <c r="D11" s="6" t="s">
        <v>32</v>
      </c>
      <c r="E11" s="6" t="s">
        <v>53</v>
      </c>
      <c r="F11" s="6" t="s">
        <v>32</v>
      </c>
      <c r="G11" s="6" t="s">
        <v>32</v>
      </c>
    </row>
    <row r="12" spans="1:7" ht="18" x14ac:dyDescent="0.25">
      <c r="A12" s="5">
        <v>10</v>
      </c>
      <c r="B12" s="6" t="s">
        <v>28</v>
      </c>
      <c r="C12" s="6" t="s">
        <v>32</v>
      </c>
      <c r="D12" s="6" t="s">
        <v>32</v>
      </c>
      <c r="E12" s="6" t="s">
        <v>32</v>
      </c>
      <c r="F12" s="6" t="s">
        <v>32</v>
      </c>
      <c r="G12" s="6" t="s">
        <v>32</v>
      </c>
    </row>
    <row r="13" spans="1:7" ht="18" x14ac:dyDescent="0.25">
      <c r="A13" s="5">
        <v>11</v>
      </c>
      <c r="B13" s="6" t="s">
        <v>29</v>
      </c>
      <c r="C13" s="6" t="s">
        <v>32</v>
      </c>
      <c r="D13" s="6" t="s">
        <v>32</v>
      </c>
      <c r="E13" s="6" t="s">
        <v>32</v>
      </c>
      <c r="F13" s="6" t="s">
        <v>32</v>
      </c>
      <c r="G13" s="6" t="s">
        <v>32</v>
      </c>
    </row>
    <row r="14" spans="1:7" ht="18" x14ac:dyDescent="0.25">
      <c r="A14" s="5">
        <v>12</v>
      </c>
      <c r="B14" s="6" t="s">
        <v>30</v>
      </c>
      <c r="C14" s="6" t="s">
        <v>32</v>
      </c>
      <c r="D14" s="6" t="s">
        <v>32</v>
      </c>
      <c r="E14" s="6" t="s">
        <v>32</v>
      </c>
      <c r="F14" s="6" t="s">
        <v>32</v>
      </c>
      <c r="G14" s="6" t="s">
        <v>32</v>
      </c>
    </row>
    <row r="15" spans="1:7" ht="18" x14ac:dyDescent="0.25">
      <c r="A15" s="5">
        <v>13</v>
      </c>
      <c r="B15" s="6" t="s">
        <v>31</v>
      </c>
      <c r="C15" s="6" t="s">
        <v>32</v>
      </c>
      <c r="D15" s="6" t="s">
        <v>32</v>
      </c>
      <c r="E15" s="6" t="s">
        <v>32</v>
      </c>
      <c r="F15" s="6" t="s">
        <v>32</v>
      </c>
      <c r="G15" s="6" t="s">
        <v>32</v>
      </c>
    </row>
    <row r="16" spans="1:7" ht="18" x14ac:dyDescent="0.25">
      <c r="A16" s="5">
        <v>14</v>
      </c>
      <c r="B16" s="6" t="s">
        <v>32</v>
      </c>
      <c r="C16" s="6" t="s">
        <v>32</v>
      </c>
      <c r="D16" s="6" t="s">
        <v>32</v>
      </c>
      <c r="E16" s="6" t="s">
        <v>32</v>
      </c>
      <c r="F16" s="6" t="s">
        <v>32</v>
      </c>
      <c r="G16" s="6" t="s">
        <v>32</v>
      </c>
    </row>
    <row r="17" spans="1:7" ht="18" x14ac:dyDescent="0.25">
      <c r="A17" s="5">
        <v>15</v>
      </c>
      <c r="B17" s="6" t="s">
        <v>32</v>
      </c>
      <c r="C17" s="6" t="s">
        <v>32</v>
      </c>
      <c r="D17" s="6" t="s">
        <v>32</v>
      </c>
      <c r="E17" s="6" t="s">
        <v>32</v>
      </c>
      <c r="F17" s="6" t="s">
        <v>32</v>
      </c>
      <c r="G17" s="6" t="s">
        <v>32</v>
      </c>
    </row>
    <row r="21" spans="1:7" ht="17" x14ac:dyDescent="0.25">
      <c r="A21" s="2"/>
    </row>
    <row r="22" spans="1:7" ht="17" x14ac:dyDescent="0.25">
      <c r="A22" s="2"/>
    </row>
    <row r="23" spans="1:7" ht="17" x14ac:dyDescent="0.25">
      <c r="A23" s="2"/>
    </row>
    <row r="24" spans="1:7" ht="17" x14ac:dyDescent="0.25">
      <c r="A24" s="2"/>
    </row>
    <row r="25" spans="1:7" ht="17" x14ac:dyDescent="0.25">
      <c r="A25" s="2"/>
    </row>
    <row r="26" spans="1:7" ht="17" x14ac:dyDescent="0.25">
      <c r="A26" s="2"/>
    </row>
    <row r="27" spans="1:7" ht="17" x14ac:dyDescent="0.25">
      <c r="A27" s="2"/>
    </row>
    <row r="28" spans="1:7" ht="17" x14ac:dyDescent="0.25">
      <c r="A28" s="2"/>
    </row>
    <row r="29" spans="1:7" ht="17" x14ac:dyDescent="0.25">
      <c r="A29" s="2"/>
    </row>
    <row r="30" spans="1:7" ht="17" x14ac:dyDescent="0.25">
      <c r="A30" s="2"/>
    </row>
    <row r="31" spans="1:7" ht="17" x14ac:dyDescent="0.25">
      <c r="A31" s="2"/>
    </row>
    <row r="32" spans="1:7" ht="17" x14ac:dyDescent="0.25">
      <c r="A32" s="2"/>
    </row>
    <row r="33" spans="1:1" ht="17" x14ac:dyDescent="0.25">
      <c r="A33" s="2"/>
    </row>
    <row r="34" spans="1:1" ht="17" x14ac:dyDescent="0.25">
      <c r="A34" s="2"/>
    </row>
    <row r="35" spans="1:1" ht="17" x14ac:dyDescent="0.25">
      <c r="A35" s="2"/>
    </row>
    <row r="36" spans="1:1" ht="17" x14ac:dyDescent="0.25">
      <c r="A36" s="2"/>
    </row>
    <row r="37" spans="1:1" ht="17" x14ac:dyDescent="0.25">
      <c r="A37" s="2"/>
    </row>
  </sheetData>
  <sheetProtection algorithmName="SHA-512" hashValue="3JaYipnvlz5xjzo1MF5FAXVO+yfYk5ky3UY+gp0r8dL6Ldu5BEA57DKAwFDnUpz/YHtJ/nJBdx+tGL19Gl28qg==" saltValue="BKyhebrvA5oLM7s+B4A/q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tabColor rgb="FF0070C0"/>
  </sheetPr>
  <dimension ref="A1:A34"/>
  <sheetViews>
    <sheetView workbookViewId="0"/>
  </sheetViews>
  <sheetFormatPr baseColWidth="10" defaultRowHeight="16" x14ac:dyDescent="0.2"/>
  <cols>
    <col min="1" max="1" width="12.5" bestFit="1" customWidth="1"/>
  </cols>
  <sheetData>
    <row r="1" spans="1:1" x14ac:dyDescent="0.2">
      <c r="A1" t="s">
        <v>61</v>
      </c>
    </row>
    <row r="2" spans="1:1" x14ac:dyDescent="0.2">
      <c r="A2">
        <v>1</v>
      </c>
    </row>
    <row r="3" spans="1:1" x14ac:dyDescent="0.2">
      <c r="A3">
        <v>2</v>
      </c>
    </row>
    <row r="4" spans="1:1" x14ac:dyDescent="0.2">
      <c r="A4">
        <v>3</v>
      </c>
    </row>
    <row r="5" spans="1:1" x14ac:dyDescent="0.2">
      <c r="A5">
        <v>4</v>
      </c>
    </row>
    <row r="6" spans="1:1" x14ac:dyDescent="0.2">
      <c r="A6">
        <v>5</v>
      </c>
    </row>
    <row r="7" spans="1:1" x14ac:dyDescent="0.2">
      <c r="A7">
        <v>6</v>
      </c>
    </row>
    <row r="8" spans="1:1" x14ac:dyDescent="0.2">
      <c r="A8">
        <v>7</v>
      </c>
    </row>
    <row r="9" spans="1:1" x14ac:dyDescent="0.2">
      <c r="A9">
        <v>8</v>
      </c>
    </row>
    <row r="10" spans="1:1" x14ac:dyDescent="0.2">
      <c r="A10">
        <v>9</v>
      </c>
    </row>
    <row r="11" spans="1:1" x14ac:dyDescent="0.2">
      <c r="A11">
        <v>10</v>
      </c>
    </row>
    <row r="12" spans="1:1" x14ac:dyDescent="0.2">
      <c r="A12">
        <v>11</v>
      </c>
    </row>
    <row r="13" spans="1:1" x14ac:dyDescent="0.2">
      <c r="A13">
        <v>12</v>
      </c>
    </row>
    <row r="14" spans="1:1" x14ac:dyDescent="0.2">
      <c r="A14">
        <v>13</v>
      </c>
    </row>
    <row r="15" spans="1:1" x14ac:dyDescent="0.2">
      <c r="A15">
        <v>14</v>
      </c>
    </row>
    <row r="16" spans="1:1" x14ac:dyDescent="0.2">
      <c r="A16">
        <v>15</v>
      </c>
    </row>
    <row r="17" spans="1:1" x14ac:dyDescent="0.2">
      <c r="A17">
        <v>16</v>
      </c>
    </row>
    <row r="18" spans="1:1" x14ac:dyDescent="0.2">
      <c r="A18">
        <v>17</v>
      </c>
    </row>
    <row r="19" spans="1:1" x14ac:dyDescent="0.2">
      <c r="A19">
        <v>18</v>
      </c>
    </row>
    <row r="20" spans="1:1" x14ac:dyDescent="0.2">
      <c r="A20">
        <v>19</v>
      </c>
    </row>
    <row r="21" spans="1:1" x14ac:dyDescent="0.2">
      <c r="A21">
        <v>20</v>
      </c>
    </row>
    <row r="22" spans="1:1" x14ac:dyDescent="0.2">
      <c r="A22">
        <v>21</v>
      </c>
    </row>
    <row r="23" spans="1:1" x14ac:dyDescent="0.2">
      <c r="A23">
        <v>22</v>
      </c>
    </row>
    <row r="24" spans="1:1" x14ac:dyDescent="0.2">
      <c r="A24">
        <v>23</v>
      </c>
    </row>
    <row r="25" spans="1:1" x14ac:dyDescent="0.2">
      <c r="A25">
        <v>24</v>
      </c>
    </row>
    <row r="26" spans="1:1" x14ac:dyDescent="0.2">
      <c r="A26" t="s">
        <v>93</v>
      </c>
    </row>
    <row r="27" spans="1:1" x14ac:dyDescent="0.2">
      <c r="A27" t="s">
        <v>94</v>
      </c>
    </row>
    <row r="28" spans="1:1" x14ac:dyDescent="0.2">
      <c r="A28" t="s">
        <v>95</v>
      </c>
    </row>
    <row r="29" spans="1:1" x14ac:dyDescent="0.2">
      <c r="A29" t="s">
        <v>96</v>
      </c>
    </row>
    <row r="30" spans="1:1" x14ac:dyDescent="0.2">
      <c r="A30" t="s">
        <v>112</v>
      </c>
    </row>
    <row r="31" spans="1:1" x14ac:dyDescent="0.2">
      <c r="A31" t="s">
        <v>113</v>
      </c>
    </row>
    <row r="32" spans="1:1" x14ac:dyDescent="0.2">
      <c r="A32" t="s">
        <v>114</v>
      </c>
    </row>
    <row r="33" spans="1:1" x14ac:dyDescent="0.2">
      <c r="A33" t="s">
        <v>115</v>
      </c>
    </row>
    <row r="34" spans="1:1" x14ac:dyDescent="0.2">
      <c r="A34" t="s">
        <v>130</v>
      </c>
    </row>
  </sheetData>
  <sheetProtection algorithmName="SHA-512" hashValue="ebomsgX8zaMkVZjvUXdaQEanHvhKvMc8QBivC4OUweKvDxBh8FeC8BDFkNJ16bYI22beXHwFcHNTPvmjQRUlmg==" saltValue="R5F6LNRpinhlKdIcsdolv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70C0"/>
  </sheetPr>
  <dimension ref="A1:A56"/>
  <sheetViews>
    <sheetView workbookViewId="0"/>
  </sheetViews>
  <sheetFormatPr baseColWidth="10" defaultRowHeight="16" x14ac:dyDescent="0.2"/>
  <cols>
    <col min="1" max="1" width="66" bestFit="1" customWidth="1"/>
    <col min="2" max="2" width="64" bestFit="1" customWidth="1"/>
  </cols>
  <sheetData>
    <row r="1" spans="1:1" x14ac:dyDescent="0.2">
      <c r="A1" t="s">
        <v>67</v>
      </c>
    </row>
    <row r="2" spans="1:1" x14ac:dyDescent="0.2">
      <c r="A2" t="s">
        <v>181</v>
      </c>
    </row>
    <row r="3" spans="1:1" x14ac:dyDescent="0.2">
      <c r="A3" t="s">
        <v>155</v>
      </c>
    </row>
    <row r="4" spans="1:1" x14ac:dyDescent="0.2">
      <c r="A4" t="s">
        <v>152</v>
      </c>
    </row>
    <row r="5" spans="1:1" x14ac:dyDescent="0.2">
      <c r="A5" t="s">
        <v>68</v>
      </c>
    </row>
    <row r="6" spans="1:1" x14ac:dyDescent="0.2">
      <c r="A6" t="s">
        <v>66</v>
      </c>
    </row>
    <row r="7" spans="1:1" x14ac:dyDescent="0.2">
      <c r="A7" t="s">
        <v>150</v>
      </c>
    </row>
    <row r="8" spans="1:1" x14ac:dyDescent="0.2">
      <c r="A8" t="s">
        <v>159</v>
      </c>
    </row>
    <row r="9" spans="1:1" x14ac:dyDescent="0.2">
      <c r="A9" t="s">
        <v>158</v>
      </c>
    </row>
    <row r="10" spans="1:1" x14ac:dyDescent="0.2">
      <c r="A10" t="s">
        <v>153</v>
      </c>
    </row>
    <row r="11" spans="1:1" x14ac:dyDescent="0.2">
      <c r="A11" t="s">
        <v>154</v>
      </c>
    </row>
    <row r="12" spans="1:1" x14ac:dyDescent="0.2">
      <c r="A12" t="s">
        <v>156</v>
      </c>
    </row>
    <row r="13" spans="1:1" x14ac:dyDescent="0.2">
      <c r="A13" t="s">
        <v>151</v>
      </c>
    </row>
    <row r="14" spans="1:1" x14ac:dyDescent="0.2">
      <c r="A14" t="s">
        <v>182</v>
      </c>
    </row>
    <row r="15" spans="1:1" x14ac:dyDescent="0.2">
      <c r="A15" t="s">
        <v>207</v>
      </c>
    </row>
    <row r="16" spans="1:1" x14ac:dyDescent="0.2">
      <c r="A16" t="s">
        <v>157</v>
      </c>
    </row>
    <row r="17" spans="1:1" x14ac:dyDescent="0.2">
      <c r="A17" t="s">
        <v>210</v>
      </c>
    </row>
    <row r="18" spans="1:1" x14ac:dyDescent="0.2">
      <c r="A18" t="s">
        <v>213</v>
      </c>
    </row>
    <row r="19" spans="1:1" x14ac:dyDescent="0.2">
      <c r="A19" t="s">
        <v>214</v>
      </c>
    </row>
    <row r="20" spans="1:1" x14ac:dyDescent="0.2">
      <c r="A20" t="s">
        <v>222</v>
      </c>
    </row>
    <row r="21" spans="1:1" x14ac:dyDescent="0.2">
      <c r="A21" t="s">
        <v>148</v>
      </c>
    </row>
    <row r="22" spans="1:1" x14ac:dyDescent="0.2">
      <c r="A22" t="s">
        <v>220</v>
      </c>
    </row>
    <row r="23" spans="1:1" x14ac:dyDescent="0.2">
      <c r="A23" t="s">
        <v>183</v>
      </c>
    </row>
    <row r="24" spans="1:1" x14ac:dyDescent="0.2">
      <c r="A24" t="s">
        <v>69</v>
      </c>
    </row>
    <row r="25" spans="1:1" x14ac:dyDescent="0.2">
      <c r="A25" t="s">
        <v>167</v>
      </c>
    </row>
    <row r="26" spans="1:1" x14ac:dyDescent="0.2">
      <c r="A26" t="s">
        <v>166</v>
      </c>
    </row>
    <row r="27" spans="1:1" x14ac:dyDescent="0.2">
      <c r="A27" t="s">
        <v>162</v>
      </c>
    </row>
    <row r="28" spans="1:1" x14ac:dyDescent="0.2">
      <c r="A28" t="s">
        <v>163</v>
      </c>
    </row>
    <row r="29" spans="1:1" x14ac:dyDescent="0.2">
      <c r="A29" t="s">
        <v>70</v>
      </c>
    </row>
    <row r="30" spans="1:1" x14ac:dyDescent="0.2">
      <c r="A30" t="s">
        <v>161</v>
      </c>
    </row>
    <row r="31" spans="1:1" x14ac:dyDescent="0.2">
      <c r="A31" t="s">
        <v>165</v>
      </c>
    </row>
    <row r="32" spans="1:1" x14ac:dyDescent="0.2">
      <c r="A32" t="s">
        <v>160</v>
      </c>
    </row>
    <row r="33" spans="1:1" x14ac:dyDescent="0.2">
      <c r="A33" t="s">
        <v>164</v>
      </c>
    </row>
    <row r="34" spans="1:1" x14ac:dyDescent="0.2">
      <c r="A34" t="s">
        <v>149</v>
      </c>
    </row>
    <row r="35" spans="1:1" x14ac:dyDescent="0.2">
      <c r="A35" t="s">
        <v>168</v>
      </c>
    </row>
    <row r="36" spans="1:1" x14ac:dyDescent="0.2">
      <c r="A36" t="s">
        <v>184</v>
      </c>
    </row>
    <row r="37" spans="1:1" x14ac:dyDescent="0.2">
      <c r="A37" t="s">
        <v>185</v>
      </c>
    </row>
    <row r="38" spans="1:1" x14ac:dyDescent="0.2">
      <c r="A38" t="s">
        <v>186</v>
      </c>
    </row>
    <row r="39" spans="1:1" x14ac:dyDescent="0.2">
      <c r="A39" t="s">
        <v>72</v>
      </c>
    </row>
    <row r="40" spans="1:1" x14ac:dyDescent="0.2">
      <c r="A40" t="s">
        <v>179</v>
      </c>
    </row>
    <row r="41" spans="1:1" x14ac:dyDescent="0.2">
      <c r="A41" t="s">
        <v>173</v>
      </c>
    </row>
    <row r="42" spans="1:1" x14ac:dyDescent="0.2">
      <c r="A42" t="s">
        <v>204</v>
      </c>
    </row>
    <row r="43" spans="1:1" x14ac:dyDescent="0.2">
      <c r="A43" t="s">
        <v>175</v>
      </c>
    </row>
    <row r="44" spans="1:1" x14ac:dyDescent="0.2">
      <c r="A44" t="s">
        <v>174</v>
      </c>
    </row>
    <row r="45" spans="1:1" x14ac:dyDescent="0.2">
      <c r="A45" t="s">
        <v>177</v>
      </c>
    </row>
    <row r="46" spans="1:1" x14ac:dyDescent="0.2">
      <c r="A46" t="s">
        <v>71</v>
      </c>
    </row>
    <row r="47" spans="1:1" x14ac:dyDescent="0.2">
      <c r="A47" t="s">
        <v>172</v>
      </c>
    </row>
    <row r="48" spans="1:1" x14ac:dyDescent="0.2">
      <c r="A48" t="s">
        <v>170</v>
      </c>
    </row>
    <row r="49" spans="1:1" x14ac:dyDescent="0.2">
      <c r="A49" t="s">
        <v>178</v>
      </c>
    </row>
    <row r="50" spans="1:1" x14ac:dyDescent="0.2">
      <c r="A50" t="s">
        <v>176</v>
      </c>
    </row>
    <row r="51" spans="1:1" x14ac:dyDescent="0.2">
      <c r="A51" t="s">
        <v>169</v>
      </c>
    </row>
    <row r="52" spans="1:1" x14ac:dyDescent="0.2">
      <c r="A52" t="s">
        <v>171</v>
      </c>
    </row>
    <row r="53" spans="1:1" x14ac:dyDescent="0.2">
      <c r="A53" t="s">
        <v>212</v>
      </c>
    </row>
    <row r="54" spans="1:1" x14ac:dyDescent="0.2">
      <c r="A54" t="s">
        <v>73</v>
      </c>
    </row>
    <row r="55" spans="1:1" x14ac:dyDescent="0.2">
      <c r="A55" t="s">
        <v>187</v>
      </c>
    </row>
    <row r="56" spans="1:1" x14ac:dyDescent="0.2">
      <c r="A56" t="s">
        <v>180</v>
      </c>
    </row>
  </sheetData>
  <sheetProtection algorithmName="SHA-512" hashValue="1BBBEdd2yRQa9x/3jWzbKmPL0Y4p+ds2GstxcFwLMxoZl7bMuxIiIq5v08Xcu+wEMwaYtAZKtY7id4NwU1w3jQ==" saltValue="Mqn3mb6giBn2KkfQWMjU3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0070C0"/>
  </sheetPr>
  <dimension ref="A1:A24"/>
  <sheetViews>
    <sheetView workbookViewId="0"/>
  </sheetViews>
  <sheetFormatPr baseColWidth="10" defaultRowHeight="16" x14ac:dyDescent="0.2"/>
  <sheetData>
    <row r="1" spans="1:1" x14ac:dyDescent="0.2">
      <c r="A1" t="s">
        <v>74</v>
      </c>
    </row>
    <row r="2" spans="1:1" x14ac:dyDescent="0.2">
      <c r="A2" t="s">
        <v>129</v>
      </c>
    </row>
    <row r="3" spans="1:1" x14ac:dyDescent="0.2">
      <c r="A3" t="s">
        <v>75</v>
      </c>
    </row>
    <row r="4" spans="1:1" x14ac:dyDescent="0.2">
      <c r="A4" t="s">
        <v>76</v>
      </c>
    </row>
    <row r="5" spans="1:1" x14ac:dyDescent="0.2">
      <c r="A5" t="s">
        <v>77</v>
      </c>
    </row>
    <row r="6" spans="1:1" x14ac:dyDescent="0.2">
      <c r="A6" t="s">
        <v>219</v>
      </c>
    </row>
    <row r="7" spans="1:1" x14ac:dyDescent="0.2">
      <c r="A7" t="s">
        <v>205</v>
      </c>
    </row>
    <row r="8" spans="1:1" x14ac:dyDescent="0.2">
      <c r="A8" t="s">
        <v>208</v>
      </c>
    </row>
    <row r="9" spans="1:1" x14ac:dyDescent="0.2">
      <c r="A9" t="s">
        <v>215</v>
      </c>
    </row>
    <row r="10" spans="1:1" x14ac:dyDescent="0.2">
      <c r="A10" t="s">
        <v>216</v>
      </c>
    </row>
    <row r="11" spans="1:1" x14ac:dyDescent="0.2">
      <c r="A11" t="s">
        <v>217</v>
      </c>
    </row>
    <row r="12" spans="1:1" x14ac:dyDescent="0.2">
      <c r="A12" t="s">
        <v>221</v>
      </c>
    </row>
    <row r="13" spans="1:1" x14ac:dyDescent="0.2">
      <c r="A13" t="s">
        <v>206</v>
      </c>
    </row>
    <row r="14" spans="1:1" x14ac:dyDescent="0.2">
      <c r="A14" t="s">
        <v>209</v>
      </c>
    </row>
    <row r="15" spans="1:1" x14ac:dyDescent="0.2">
      <c r="A15" t="s">
        <v>117</v>
      </c>
    </row>
    <row r="16" spans="1:1" x14ac:dyDescent="0.2">
      <c r="A16" t="s">
        <v>78</v>
      </c>
    </row>
    <row r="17" spans="1:1" x14ac:dyDescent="0.2">
      <c r="A17" t="s">
        <v>79</v>
      </c>
    </row>
    <row r="18" spans="1:1" x14ac:dyDescent="0.2">
      <c r="A18" t="s">
        <v>80</v>
      </c>
    </row>
    <row r="19" spans="1:1" x14ac:dyDescent="0.2">
      <c r="A19" t="s">
        <v>81</v>
      </c>
    </row>
    <row r="20" spans="1:1" x14ac:dyDescent="0.2">
      <c r="A20" t="s">
        <v>82</v>
      </c>
    </row>
    <row r="21" spans="1:1" x14ac:dyDescent="0.2">
      <c r="A21" t="s">
        <v>17</v>
      </c>
    </row>
    <row r="22" spans="1:1" x14ac:dyDescent="0.2">
      <c r="A22" t="s">
        <v>83</v>
      </c>
    </row>
    <row r="23" spans="1:1" x14ac:dyDescent="0.2">
      <c r="A23" t="s">
        <v>116</v>
      </c>
    </row>
    <row r="24" spans="1:1" x14ac:dyDescent="0.2">
      <c r="A24" t="s">
        <v>223</v>
      </c>
    </row>
  </sheetData>
  <sheetProtection algorithmName="SHA-512" hashValue="wZQyXYI9XYOjlfstVmFrTyLpr1ax8wEc5yjhUfHhI331sSt5d8od4IA9u/SrfxfezVDtwyp7R4YP++gtIoGqWQ==" saltValue="Tht7m9OdrY1UpM+uOqy7cw==" spinCount="100000" sheet="1" objects="1" scenarios="1"/>
  <sortState xmlns:xlrd2="http://schemas.microsoft.com/office/spreadsheetml/2017/richdata2" ref="A1:A18">
    <sortCondition ref="A1:A18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README</vt:lpstr>
      <vt:lpstr>CastList</vt:lpstr>
      <vt:lpstr>CastLog_ROV</vt:lpstr>
      <vt:lpstr>SampleList</vt:lpstr>
      <vt:lpstr>ChloroLog_all</vt:lpstr>
      <vt:lpstr>CTDflags</vt:lpstr>
      <vt:lpstr>CTDflags_ROV</vt:lpstr>
      <vt:lpstr>_Flags_</vt:lpstr>
      <vt:lpstr>_NiskinBottles_</vt:lpstr>
      <vt:lpstr>  _Stations_  </vt:lpstr>
      <vt:lpstr>_TargetAssets_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Wendi Ruef</dc:creator>
  <cp:lastModifiedBy>Wendi M. Ruef</cp:lastModifiedBy>
  <cp:lastPrinted>2019-05-28T21:23:02Z</cp:lastPrinted>
  <dcterms:created xsi:type="dcterms:W3CDTF">2019-03-04T15:33:15Z</dcterms:created>
  <dcterms:modified xsi:type="dcterms:W3CDTF">2026-09-09T18:50:45Z</dcterms:modified>
</cp:coreProperties>
</file>