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sn/Desktop/FileCabinet/Cruises/Cabled-11_TN382/"/>
    </mc:Choice>
  </mc:AlternateContent>
  <xr:revisionPtr revIDLastSave="0" documentId="13_ncr:1_{BAC17964-38AE-3F45-8C6D-6D992C4A8B0C}" xr6:coauthVersionLast="46" xr6:coauthVersionMax="46" xr10:uidLastSave="{00000000-0000-0000-0000-000000000000}"/>
  <bookViews>
    <workbookView xWindow="2440" yWindow="460" windowWidth="23020" windowHeight="1810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" l="1"/>
  <c r="J18" i="1"/>
  <c r="I18" i="1"/>
  <c r="H18" i="1"/>
  <c r="G18" i="1"/>
  <c r="K17" i="1"/>
  <c r="J17" i="1"/>
  <c r="I17" i="1"/>
  <c r="H17" i="1"/>
  <c r="G17" i="1"/>
  <c r="K16" i="1"/>
  <c r="J16" i="1"/>
  <c r="I16" i="1"/>
  <c r="H16" i="1"/>
  <c r="G16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G11" i="1"/>
  <c r="K9" i="1"/>
  <c r="C9" i="1"/>
  <c r="K8" i="1"/>
  <c r="K7" i="1"/>
  <c r="C7" i="1"/>
</calcChain>
</file>

<file path=xl/sharedStrings.xml><?xml version="1.0" encoding="utf-8"?>
<sst xmlns="http://schemas.openxmlformats.org/spreadsheetml/2006/main" count="194" uniqueCount="103">
  <si>
    <r>
      <t>UW</t>
    </r>
    <r>
      <rPr>
        <sz val="14"/>
        <color indexed="28"/>
        <rFont val="Poster Bodoni ATT"/>
        <family val="1"/>
      </rPr>
      <t>University of Washington Oceanography Technical Services</t>
    </r>
  </si>
  <si>
    <t>University of Washington</t>
  </si>
  <si>
    <t>Seattle, WA  98195-7940</t>
  </si>
  <si>
    <t>(206) 543-9235</t>
  </si>
  <si>
    <t>Customer:</t>
  </si>
  <si>
    <t>Date:</t>
  </si>
  <si>
    <t>Analyst:</t>
  </si>
  <si>
    <t>Comments:</t>
  </si>
  <si>
    <t>Filename:</t>
  </si>
  <si>
    <t>Status</t>
  </si>
  <si>
    <t>Factor</t>
  </si>
  <si>
    <t>Initial Blank</t>
  </si>
  <si>
    <t>Final Blank</t>
  </si>
  <si>
    <t>Factor Adjustment</t>
  </si>
  <si>
    <t>Total Samples+Blanks+Standards</t>
  </si>
  <si>
    <t>Dilution</t>
  </si>
  <si>
    <t>Seq#</t>
  </si>
  <si>
    <t>Bottle#</t>
  </si>
  <si>
    <t>Depth</t>
  </si>
  <si>
    <t>chk</t>
  </si>
  <si>
    <t xml:space="preserve"> </t>
  </si>
  <si>
    <t>actual</t>
  </si>
  <si>
    <t>Refractive Index</t>
  </si>
  <si>
    <t>Synch Time</t>
  </si>
  <si>
    <t>School of Oceanography, Box 355351</t>
  </si>
  <si>
    <t xml:space="preserve">Marine Chemistry Laboratory </t>
  </si>
  <si>
    <t>Aaron Morello, Kathy Krogslund</t>
  </si>
  <si>
    <t>aaronm@uw.edu</t>
  </si>
  <si>
    <t>2kkrog@gmail.com</t>
  </si>
  <si>
    <t>Nutrient Sample Analyses, SEAL AA3</t>
  </si>
  <si>
    <r>
      <t>[ PO</t>
    </r>
    <r>
      <rPr>
        <vertAlign val="subscript"/>
        <sz val="10"/>
        <color indexed="12"/>
        <rFont val="Arial"/>
        <family val="2"/>
      </rPr>
      <t>4</t>
    </r>
    <r>
      <rPr>
        <sz val="10"/>
        <color indexed="12"/>
        <rFont val="Arial"/>
        <family val="2"/>
      </rPr>
      <t xml:space="preserve"> ]</t>
    </r>
  </si>
  <si>
    <t>[ Si(OH)4 ]</t>
  </si>
  <si>
    <r>
      <t>[ NO</t>
    </r>
    <r>
      <rPr>
        <vertAlign val="subscript"/>
        <sz val="10"/>
        <color indexed="12"/>
        <rFont val="Arial"/>
        <family val="2"/>
      </rPr>
      <t>3</t>
    </r>
    <r>
      <rPr>
        <sz val="10"/>
        <color indexed="12"/>
        <rFont val="Arial"/>
        <family val="2"/>
      </rPr>
      <t xml:space="preserve"> ]</t>
    </r>
  </si>
  <si>
    <r>
      <t>[ NO</t>
    </r>
    <r>
      <rPr>
        <vertAlign val="subscript"/>
        <sz val="10"/>
        <color indexed="12"/>
        <rFont val="Arial"/>
        <family val="2"/>
      </rPr>
      <t>2</t>
    </r>
    <r>
      <rPr>
        <sz val="10"/>
        <color indexed="12"/>
        <rFont val="Arial"/>
        <family val="2"/>
      </rPr>
      <t xml:space="preserve"> ]</t>
    </r>
  </si>
  <si>
    <r>
      <t>[ NH</t>
    </r>
    <r>
      <rPr>
        <vertAlign val="subscript"/>
        <sz val="10"/>
        <color indexed="12"/>
        <rFont val="Arial"/>
        <family val="2"/>
      </rPr>
      <t>4</t>
    </r>
    <r>
      <rPr>
        <sz val="10"/>
        <color indexed="12"/>
        <rFont val="Arial"/>
        <family val="2"/>
      </rPr>
      <t xml:space="preserve"> ]</t>
    </r>
  </si>
  <si>
    <r>
      <t>Calculated Values [</t>
    </r>
    <r>
      <rPr>
        <sz val="9.5"/>
        <color indexed="12"/>
        <rFont val="Symbol"/>
        <family val="1"/>
        <charset val="2"/>
      </rPr>
      <t>m</t>
    </r>
    <r>
      <rPr>
        <sz val="10"/>
        <color indexed="12"/>
        <rFont val="Arial"/>
        <family val="2"/>
      </rPr>
      <t>M]</t>
    </r>
  </si>
  <si>
    <t>Sample ID</t>
  </si>
  <si>
    <t>niskin</t>
  </si>
  <si>
    <t>swblank</t>
  </si>
  <si>
    <t>2629</t>
  </si>
  <si>
    <t>CTD01</t>
  </si>
  <si>
    <t>2628</t>
  </si>
  <si>
    <t>2627</t>
  </si>
  <si>
    <t>2626</t>
  </si>
  <si>
    <t>2625</t>
  </si>
  <si>
    <t>2640</t>
  </si>
  <si>
    <t>CTD03</t>
  </si>
  <si>
    <t>2639</t>
  </si>
  <si>
    <t>2638</t>
  </si>
  <si>
    <t>2634</t>
  </si>
  <si>
    <t>2636</t>
  </si>
  <si>
    <t>2635</t>
  </si>
  <si>
    <t>2630</t>
  </si>
  <si>
    <t>2631</t>
  </si>
  <si>
    <t>2632</t>
  </si>
  <si>
    <t>2633</t>
  </si>
  <si>
    <t>2659</t>
  </si>
  <si>
    <t>CTD06</t>
  </si>
  <si>
    <t>2658</t>
  </si>
  <si>
    <t>2657</t>
  </si>
  <si>
    <t>2656</t>
  </si>
  <si>
    <t>2655</t>
  </si>
  <si>
    <t>2654</t>
  </si>
  <si>
    <t>2653</t>
  </si>
  <si>
    <t>2652</t>
  </si>
  <si>
    <t>2651</t>
  </si>
  <si>
    <t>2650</t>
  </si>
  <si>
    <t>2668</t>
  </si>
  <si>
    <t>CTD09</t>
  </si>
  <si>
    <t>2671</t>
  </si>
  <si>
    <t>2672</t>
  </si>
  <si>
    <t>2662</t>
  </si>
  <si>
    <t>2669</t>
  </si>
  <si>
    <t>2660</t>
  </si>
  <si>
    <t>2663</t>
  </si>
  <si>
    <t>2670</t>
  </si>
  <si>
    <t>2661</t>
  </si>
  <si>
    <t>2664</t>
  </si>
  <si>
    <t>CTD010</t>
  </si>
  <si>
    <t>blk</t>
  </si>
  <si>
    <t>2649</t>
  </si>
  <si>
    <t>CTD04</t>
  </si>
  <si>
    <t>2648</t>
  </si>
  <si>
    <t>2647</t>
  </si>
  <si>
    <t>2646</t>
  </si>
  <si>
    <t>2645</t>
  </si>
  <si>
    <t>2644</t>
  </si>
  <si>
    <t>2643</t>
  </si>
  <si>
    <t>2642</t>
  </si>
  <si>
    <t>2641</t>
  </si>
  <si>
    <t>2637</t>
  </si>
  <si>
    <t>Orest Kawka</t>
  </si>
  <si>
    <t>TAM</t>
  </si>
  <si>
    <t>2020 cruise</t>
  </si>
  <si>
    <t>OK2002</t>
  </si>
  <si>
    <t>[ PO4 ]</t>
  </si>
  <si>
    <t>[ NO3 ]</t>
  </si>
  <si>
    <t>[ NO2 ]</t>
  </si>
  <si>
    <t>[ NH4 ]</t>
  </si>
  <si>
    <t>Calculated Values [mM]</t>
  </si>
  <si>
    <t>J2-1267</t>
  </si>
  <si>
    <t>IGT-Blk</t>
  </si>
  <si>
    <t>* added missing Sample ID, modified Bottle# formatting to match submitted sample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</si>
</sst>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"/>
    <numFmt numFmtId="166" formatCode="0.0"/>
    <numFmt numFmtId="167" formatCode="dd\-mmm\-yy"/>
    <numFmt numFmtId="168" formatCode="[$-409]d\-mmm\-yy;@"/>
    <numFmt numFmtId="169" formatCode="0.0000000"/>
  </numFmts>
  <fonts count="20">
    <font>
      <sz val="10"/>
      <name val="Arial"/>
    </font>
    <font>
      <sz val="10"/>
      <name val="Arial"/>
      <family val="2"/>
    </font>
    <font>
      <sz val="48"/>
      <color indexed="28"/>
      <name val="Poster Bodoni ATT"/>
      <family val="1"/>
    </font>
    <font>
      <b/>
      <sz val="12"/>
      <name val="Geneva"/>
      <family val="2"/>
    </font>
    <font>
      <b/>
      <sz val="12"/>
      <name val="Arial"/>
      <family val="2"/>
    </font>
    <font>
      <i/>
      <sz val="11"/>
      <name val="Geneva"/>
      <family val="2"/>
    </font>
    <font>
      <sz val="10"/>
      <name val="Geneva"/>
      <family val="2"/>
    </font>
    <font>
      <sz val="14"/>
      <color indexed="28"/>
      <name val="Poster Bodoni ATT"/>
      <family val="1"/>
    </font>
    <font>
      <sz val="10"/>
      <color indexed="12"/>
      <name val="Arial"/>
      <family val="2"/>
    </font>
    <font>
      <b/>
      <sz val="10"/>
      <name val="Geneva"/>
      <family val="2"/>
    </font>
    <font>
      <vertAlign val="subscript"/>
      <sz val="10"/>
      <color indexed="12"/>
      <name val="Arial"/>
      <family val="2"/>
    </font>
    <font>
      <sz val="9.5"/>
      <color indexed="12"/>
      <name val="Symbol"/>
      <family val="1"/>
      <charset val="2"/>
    </font>
    <font>
      <sz val="8"/>
      <color indexed="12"/>
      <name val="Arial"/>
      <family val="2"/>
    </font>
    <font>
      <sz val="10"/>
      <color indexed="20"/>
      <name val="Arial"/>
      <family val="2"/>
    </font>
    <font>
      <sz val="10"/>
      <color rgb="FF7030A0"/>
      <name val="Arial"/>
      <family val="2"/>
    </font>
    <font>
      <sz val="10"/>
      <color rgb="FF0000FF"/>
      <name val="Arial"/>
      <family val="2"/>
    </font>
    <font>
      <sz val="8"/>
      <color rgb="FF0000FF"/>
      <name val="Arial"/>
      <family val="2"/>
    </font>
    <font>
      <sz val="10"/>
      <color rgb="FF80008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rgb="FF000000"/>
      </patternFill>
    </fill>
  </fills>
  <borders count="1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double">
        <color indexed="12"/>
      </bottom>
      <diagonal/>
    </border>
    <border>
      <left/>
      <right/>
      <top/>
      <bottom style="double">
        <color rgb="FF0000FF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0" fontId="0" fillId="2" borderId="1" xfId="0" applyFill="1" applyBorder="1"/>
    <xf numFmtId="0" fontId="0" fillId="2" borderId="2" xfId="0" applyFill="1" applyBorder="1"/>
    <xf numFmtId="164" fontId="0" fillId="2" borderId="2" xfId="0" applyNumberFormat="1" applyFill="1" applyBorder="1"/>
    <xf numFmtId="0" fontId="0" fillId="2" borderId="3" xfId="0" applyFill="1" applyBorder="1"/>
    <xf numFmtId="165" fontId="0" fillId="2" borderId="4" xfId="0" applyNumberFormat="1" applyFill="1" applyBorder="1" applyAlignment="1">
      <alignment horizontal="right"/>
    </xf>
    <xf numFmtId="0" fontId="0" fillId="2" borderId="5" xfId="0" applyFill="1" applyBorder="1"/>
    <xf numFmtId="164" fontId="0" fillId="2" borderId="6" xfId="0" applyNumberFormat="1" applyFill="1" applyBorder="1"/>
    <xf numFmtId="164" fontId="0" fillId="2" borderId="6" xfId="0" applyNumberForma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166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2" fontId="0" fillId="0" borderId="4" xfId="0" applyNumberFormat="1" applyBorder="1"/>
    <xf numFmtId="166" fontId="0" fillId="0" borderId="4" xfId="0" applyNumberFormat="1" applyBorder="1"/>
    <xf numFmtId="0" fontId="0" fillId="0" borderId="5" xfId="0" applyBorder="1"/>
    <xf numFmtId="0" fontId="0" fillId="0" borderId="6" xfId="0" applyBorder="1"/>
    <xf numFmtId="166" fontId="0" fillId="0" borderId="6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66" fontId="0" fillId="0" borderId="0" xfId="0" applyNumberFormat="1"/>
    <xf numFmtId="1" fontId="0" fillId="0" borderId="0" xfId="0" applyNumberFormat="1"/>
    <xf numFmtId="15" fontId="0" fillId="2" borderId="8" xfId="0" applyNumberFormat="1" applyFill="1" applyBorder="1"/>
    <xf numFmtId="166" fontId="8" fillId="0" borderId="2" xfId="0" applyNumberFormat="1" applyFont="1" applyBorder="1" applyAlignment="1">
      <alignment horizontal="right"/>
    </xf>
    <xf numFmtId="166" fontId="8" fillId="0" borderId="8" xfId="0" applyNumberFormat="1" applyFont="1" applyBorder="1" applyAlignment="1">
      <alignment horizontal="right"/>
    </xf>
    <xf numFmtId="2" fontId="0" fillId="0" borderId="0" xfId="0" applyNumberFormat="1"/>
    <xf numFmtId="165" fontId="0" fillId="2" borderId="7" xfId="0" applyNumberFormat="1" applyFill="1" applyBorder="1" applyAlignment="1">
      <alignment horizontal="right"/>
    </xf>
    <xf numFmtId="0" fontId="9" fillId="0" borderId="0" xfId="0" applyFont="1"/>
    <xf numFmtId="0" fontId="0" fillId="2" borderId="0" xfId="0" applyFill="1"/>
    <xf numFmtId="164" fontId="0" fillId="2" borderId="0" xfId="0" applyNumberFormat="1" applyFill="1"/>
    <xf numFmtId="0" fontId="0" fillId="2" borderId="6" xfId="0" applyFill="1" applyBorder="1" applyAlignment="1">
      <alignment horizontal="left"/>
    </xf>
    <xf numFmtId="169" fontId="0" fillId="0" borderId="0" xfId="0" applyNumberFormat="1"/>
    <xf numFmtId="169" fontId="0" fillId="0" borderId="4" xfId="0" applyNumberFormat="1" applyBorder="1"/>
    <xf numFmtId="0" fontId="8" fillId="0" borderId="0" xfId="0" applyFont="1"/>
    <xf numFmtId="0" fontId="8" fillId="0" borderId="0" xfId="0" applyFont="1" applyAlignment="1">
      <alignment horizontal="right"/>
    </xf>
    <xf numFmtId="166" fontId="8" fillId="0" borderId="0" xfId="0" applyNumberFormat="1" applyFont="1" applyAlignment="1">
      <alignment horizontal="right"/>
    </xf>
    <xf numFmtId="0" fontId="8" fillId="3" borderId="0" xfId="0" applyFont="1" applyFill="1"/>
    <xf numFmtId="166" fontId="8" fillId="3" borderId="0" xfId="0" applyNumberFormat="1" applyFont="1" applyFill="1"/>
    <xf numFmtId="166" fontId="8" fillId="3" borderId="0" xfId="0" applyNumberFormat="1" applyFont="1" applyFill="1" applyAlignment="1">
      <alignment horizontal="center"/>
    </xf>
    <xf numFmtId="0" fontId="8" fillId="0" borderId="9" xfId="0" applyFont="1" applyBorder="1"/>
    <xf numFmtId="0" fontId="12" fillId="0" borderId="9" xfId="0" applyFont="1" applyBorder="1"/>
    <xf numFmtId="0" fontId="8" fillId="0" borderId="9" xfId="0" applyFont="1" applyBorder="1" applyAlignment="1">
      <alignment horizontal="right"/>
    </xf>
    <xf numFmtId="166" fontId="8" fillId="0" borderId="9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5" fontId="1" fillId="0" borderId="0" xfId="0" applyNumberFormat="1" applyFont="1"/>
    <xf numFmtId="16" fontId="1" fillId="0" borderId="0" xfId="0" applyNumberFormat="1" applyFont="1" applyAlignment="1">
      <alignment horizontal="center"/>
    </xf>
    <xf numFmtId="166" fontId="1" fillId="0" borderId="0" xfId="0" applyNumberFormat="1" applyFont="1"/>
    <xf numFmtId="2" fontId="1" fillId="0" borderId="0" xfId="0" applyNumberFormat="1" applyFont="1"/>
    <xf numFmtId="15" fontId="13" fillId="0" borderId="0" xfId="0" applyNumberFormat="1" applyFont="1"/>
    <xf numFmtId="16" fontId="13" fillId="0" borderId="0" xfId="0" applyNumberFormat="1" applyFont="1" applyAlignment="1">
      <alignment horizontal="center"/>
    </xf>
    <xf numFmtId="166" fontId="13" fillId="0" borderId="0" xfId="0" applyNumberFormat="1" applyFont="1"/>
    <xf numFmtId="2" fontId="13" fillId="0" borderId="0" xfId="0" applyNumberFormat="1" applyFont="1"/>
    <xf numFmtId="1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4" fillId="0" borderId="0" xfId="0" applyFont="1"/>
    <xf numFmtId="1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66" fontId="14" fillId="0" borderId="0" xfId="0" applyNumberFormat="1" applyFont="1"/>
    <xf numFmtId="2" fontId="14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/>
    <xf numFmtId="17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" fontId="1" fillId="0" borderId="0" xfId="0" applyNumberFormat="1" applyFont="1"/>
    <xf numFmtId="166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0" fillId="4" borderId="1" xfId="0" applyFill="1" applyBorder="1"/>
    <xf numFmtId="0" fontId="0" fillId="4" borderId="2" xfId="0" applyFill="1" applyBorder="1"/>
    <xf numFmtId="164" fontId="0" fillId="4" borderId="2" xfId="0" applyNumberFormat="1" applyFill="1" applyBorder="1"/>
    <xf numFmtId="15" fontId="0" fillId="4" borderId="8" xfId="0" applyNumberFormat="1" applyFill="1" applyBorder="1"/>
    <xf numFmtId="0" fontId="0" fillId="4" borderId="3" xfId="0" applyFill="1" applyBorder="1"/>
    <xf numFmtId="0" fontId="0" fillId="4" borderId="0" xfId="0" applyFill="1"/>
    <xf numFmtId="164" fontId="0" fillId="4" borderId="0" xfId="0" applyNumberFormat="1" applyFill="1"/>
    <xf numFmtId="165" fontId="0" fillId="4" borderId="4" xfId="0" applyNumberFormat="1" applyFill="1" applyBorder="1" applyAlignment="1">
      <alignment horizontal="right"/>
    </xf>
    <xf numFmtId="0" fontId="0" fillId="4" borderId="5" xfId="0" applyFill="1" applyBorder="1"/>
    <xf numFmtId="164" fontId="0" fillId="4" borderId="6" xfId="0" applyNumberFormat="1" applyFill="1" applyBorder="1"/>
    <xf numFmtId="0" fontId="0" fillId="4" borderId="6" xfId="0" applyFill="1" applyBorder="1" applyAlignment="1">
      <alignment horizontal="left"/>
    </xf>
    <xf numFmtId="164" fontId="0" fillId="4" borderId="6" xfId="0" applyNumberFormat="1" applyFill="1" applyBorder="1" applyAlignment="1">
      <alignment horizontal="left"/>
    </xf>
    <xf numFmtId="165" fontId="0" fillId="4" borderId="7" xfId="0" applyNumberFormat="1" applyFill="1" applyBorder="1" applyAlignment="1">
      <alignment horizontal="right"/>
    </xf>
    <xf numFmtId="166" fontId="15" fillId="0" borderId="2" xfId="0" applyNumberFormat="1" applyFont="1" applyBorder="1" applyAlignment="1">
      <alignment horizontal="right"/>
    </xf>
    <xf numFmtId="166" fontId="15" fillId="0" borderId="8" xfId="0" applyNumberFormat="1" applyFont="1" applyBorder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166" fontId="15" fillId="0" borderId="0" xfId="0" applyNumberFormat="1" applyFont="1" applyAlignment="1">
      <alignment horizontal="right"/>
    </xf>
    <xf numFmtId="0" fontId="15" fillId="5" borderId="0" xfId="0" applyFont="1" applyFill="1"/>
    <xf numFmtId="166" fontId="15" fillId="5" borderId="0" xfId="0" applyNumberFormat="1" applyFont="1" applyFill="1"/>
    <xf numFmtId="166" fontId="15" fillId="5" borderId="0" xfId="0" applyNumberFormat="1" applyFont="1" applyFill="1" applyAlignment="1">
      <alignment horizontal="center"/>
    </xf>
    <xf numFmtId="0" fontId="15" fillId="0" borderId="10" xfId="0" applyFont="1" applyBorder="1"/>
    <xf numFmtId="0" fontId="16" fillId="0" borderId="10" xfId="0" applyFont="1" applyBorder="1"/>
    <xf numFmtId="0" fontId="15" fillId="0" borderId="10" xfId="0" applyFont="1" applyBorder="1" applyAlignment="1">
      <alignment horizontal="right"/>
    </xf>
    <xf numFmtId="166" fontId="15" fillId="0" borderId="10" xfId="0" applyNumberFormat="1" applyFont="1" applyBorder="1" applyAlignment="1">
      <alignment horizontal="right"/>
    </xf>
    <xf numFmtId="15" fontId="17" fillId="0" borderId="0" xfId="0" applyNumberFormat="1" applyFont="1"/>
    <xf numFmtId="16" fontId="17" fillId="0" borderId="0" xfId="0" applyNumberFormat="1" applyFont="1" applyAlignment="1">
      <alignment horizontal="center"/>
    </xf>
    <xf numFmtId="166" fontId="17" fillId="0" borderId="0" xfId="0" applyNumberFormat="1" applyFont="1"/>
    <xf numFmtId="2" fontId="17" fillId="0" borderId="0" xfId="0" applyNumberFormat="1" applyFont="1"/>
    <xf numFmtId="166" fontId="18" fillId="0" borderId="0" xfId="0" applyNumberFormat="1" applyFont="1"/>
    <xf numFmtId="49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" fontId="19" fillId="0" borderId="0" xfId="0" applyNumberFormat="1" applyFont="1" applyAlignment="1">
      <alignment horizontal="center"/>
    </xf>
    <xf numFmtId="166" fontId="1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Kathy%20Krogslund/Desktop/calcdata/data/orest/OK20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7">
          <cell r="C7" t="str">
            <v>Orest Kawka</v>
          </cell>
          <cell r="J7">
            <v>44151</v>
          </cell>
        </row>
        <row r="8">
          <cell r="J8" t="str">
            <v>TAM</v>
          </cell>
        </row>
        <row r="9">
          <cell r="C9" t="str">
            <v>2020 cruise</v>
          </cell>
          <cell r="J9" t="str">
            <v>OK2001</v>
          </cell>
        </row>
        <row r="12">
          <cell r="F12">
            <v>7.1400000000000001E-5</v>
          </cell>
          <cell r="G12">
            <v>3.4215999999999999E-3</v>
          </cell>
          <cell r="H12">
            <v>1.1739999999999999E-3</v>
          </cell>
          <cell r="I12">
            <v>7.64E-5</v>
          </cell>
          <cell r="J12">
            <v>7.36E-5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I14" t="str">
            <v xml:space="preserve"> </v>
          </cell>
        </row>
        <row r="15">
          <cell r="F15">
            <v>3354</v>
          </cell>
          <cell r="G15">
            <v>3359</v>
          </cell>
          <cell r="H15">
            <v>3659</v>
          </cell>
          <cell r="I15">
            <v>3409</v>
          </cell>
          <cell r="J15">
            <v>3277</v>
          </cell>
        </row>
        <row r="16">
          <cell r="F16">
            <v>2626</v>
          </cell>
          <cell r="G16">
            <v>3391</v>
          </cell>
          <cell r="H16">
            <v>3875</v>
          </cell>
          <cell r="I16">
            <v>3787</v>
          </cell>
          <cell r="J16">
            <v>3278</v>
          </cell>
        </row>
        <row r="17">
          <cell r="F17">
            <v>7.0599999999999995E-5</v>
          </cell>
          <cell r="G17">
            <v>3.3397000000000001E-3</v>
          </cell>
          <cell r="H17">
            <v>1.1494999999999999E-3</v>
          </cell>
          <cell r="I17">
            <v>7.4200000000000001E-5</v>
          </cell>
          <cell r="J17">
            <v>7.3499999999999998E-5</v>
          </cell>
        </row>
        <row r="18">
          <cell r="F18">
            <v>73</v>
          </cell>
          <cell r="G18">
            <v>73</v>
          </cell>
          <cell r="H18">
            <v>73</v>
          </cell>
          <cell r="I18">
            <v>73</v>
          </cell>
          <cell r="J18">
            <v>73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opLeftCell="A30" workbookViewId="0"/>
  </sheetViews>
  <sheetFormatPr baseColWidth="10" defaultColWidth="8.83203125" defaultRowHeight="13"/>
  <cols>
    <col min="1" max="2" width="8.83203125" customWidth="1"/>
    <col min="3" max="3" width="12.5" bestFit="1" customWidth="1"/>
    <col min="4" max="4" width="3.83203125" customWidth="1"/>
    <col min="5" max="6" width="8.83203125" customWidth="1"/>
    <col min="7" max="11" width="10.5" bestFit="1" customWidth="1"/>
  </cols>
  <sheetData>
    <row r="1" spans="1:11" ht="60">
      <c r="A1" s="1" t="s">
        <v>0</v>
      </c>
    </row>
    <row r="2" spans="1:11" ht="17">
      <c r="A2" s="2" t="s">
        <v>24</v>
      </c>
      <c r="B2" s="2"/>
      <c r="C2" s="2"/>
      <c r="D2" s="3"/>
      <c r="E2" s="3"/>
      <c r="G2" s="2" t="s">
        <v>25</v>
      </c>
      <c r="H2" s="4"/>
      <c r="I2" s="5"/>
      <c r="J2" s="5"/>
      <c r="K2" s="5"/>
    </row>
    <row r="3" spans="1:11" ht="17">
      <c r="A3" s="2" t="s">
        <v>1</v>
      </c>
      <c r="B3" s="2"/>
      <c r="C3" s="2"/>
      <c r="D3" s="3"/>
      <c r="E3" s="3"/>
      <c r="G3" s="3" t="s">
        <v>26</v>
      </c>
      <c r="H3" s="4"/>
      <c r="I3" s="5"/>
      <c r="J3" s="5"/>
      <c r="K3" s="5"/>
    </row>
    <row r="4" spans="1:11" ht="17">
      <c r="A4" s="2" t="s">
        <v>2</v>
      </c>
      <c r="B4" s="2"/>
      <c r="C4" s="2"/>
      <c r="D4" s="5"/>
      <c r="E4" s="3"/>
      <c r="G4" s="3" t="s">
        <v>3</v>
      </c>
      <c r="H4" s="4"/>
      <c r="J4" s="2"/>
    </row>
    <row r="5" spans="1:11" ht="17">
      <c r="A5" s="2"/>
      <c r="B5" s="2"/>
      <c r="C5" s="2"/>
      <c r="D5" s="3"/>
      <c r="E5" s="3"/>
      <c r="G5" s="6" t="s">
        <v>27</v>
      </c>
      <c r="H5" s="4"/>
      <c r="I5" s="5" t="s">
        <v>28</v>
      </c>
      <c r="J5" s="5"/>
      <c r="K5" s="38"/>
    </row>
    <row r="6" spans="1:11" ht="16" thickBot="1">
      <c r="A6" s="7" t="s">
        <v>29</v>
      </c>
      <c r="E6" s="8"/>
      <c r="F6" s="8"/>
      <c r="G6" s="8"/>
      <c r="H6" s="9"/>
      <c r="I6" s="10"/>
    </row>
    <row r="7" spans="1:11" ht="14" thickTop="1">
      <c r="A7" s="11" t="s">
        <v>4</v>
      </c>
      <c r="B7" s="12"/>
      <c r="C7" s="12" t="str">
        <f>[1]Sheet1!C7</f>
        <v>Orest Kawka</v>
      </c>
      <c r="D7" s="12"/>
      <c r="E7" s="13"/>
      <c r="F7" s="13"/>
      <c r="G7" s="13"/>
      <c r="H7" s="13"/>
      <c r="I7" s="12"/>
      <c r="J7" s="13" t="s">
        <v>5</v>
      </c>
      <c r="K7" s="33">
        <f>[1]Sheet1!J7</f>
        <v>44151</v>
      </c>
    </row>
    <row r="8" spans="1:11">
      <c r="A8" s="14"/>
      <c r="B8" s="39"/>
      <c r="C8" s="39"/>
      <c r="D8" s="39"/>
      <c r="E8" s="40"/>
      <c r="F8" s="40"/>
      <c r="G8" s="40"/>
      <c r="H8" s="40"/>
      <c r="I8" s="39"/>
      <c r="J8" s="40" t="s">
        <v>6</v>
      </c>
      <c r="K8" s="15" t="str">
        <f>[1]Sheet1!J8</f>
        <v>TAM</v>
      </c>
    </row>
    <row r="9" spans="1:11" ht="14" thickBot="1">
      <c r="A9" s="16" t="s">
        <v>7</v>
      </c>
      <c r="B9" s="17"/>
      <c r="C9" s="41" t="str">
        <f>[1]Sheet1!C9</f>
        <v>2020 cruise</v>
      </c>
      <c r="D9" s="41"/>
      <c r="E9" s="18"/>
      <c r="F9" s="18"/>
      <c r="G9" s="18"/>
      <c r="H9" s="18"/>
      <c r="I9" s="41"/>
      <c r="J9" s="40" t="s">
        <v>8</v>
      </c>
      <c r="K9" s="37" t="str">
        <f>[1]Sheet1!J9</f>
        <v>OK2001</v>
      </c>
    </row>
    <row r="10" spans="1:11" ht="16" thickTop="1">
      <c r="A10" s="19"/>
      <c r="B10" s="20"/>
      <c r="C10" s="20"/>
      <c r="D10" s="20"/>
      <c r="E10" s="20"/>
      <c r="F10" s="21"/>
      <c r="G10" s="34" t="s">
        <v>30</v>
      </c>
      <c r="H10" s="34" t="s">
        <v>31</v>
      </c>
      <c r="I10" s="34" t="s">
        <v>32</v>
      </c>
      <c r="J10" s="34" t="s">
        <v>33</v>
      </c>
      <c r="K10" s="35" t="s">
        <v>34</v>
      </c>
    </row>
    <row r="11" spans="1:11">
      <c r="A11" s="22"/>
      <c r="C11" t="s">
        <v>9</v>
      </c>
      <c r="F11" s="31"/>
      <c r="G11" s="32">
        <f>[1]Sheet1!F11</f>
        <v>0</v>
      </c>
      <c r="H11" s="32">
        <v>1</v>
      </c>
      <c r="I11" s="32">
        <v>1</v>
      </c>
      <c r="J11" s="32">
        <v>1</v>
      </c>
      <c r="K11" s="23">
        <v>1</v>
      </c>
    </row>
    <row r="12" spans="1:11">
      <c r="A12" s="22"/>
      <c r="C12" t="s">
        <v>10</v>
      </c>
      <c r="F12" s="31"/>
      <c r="G12" s="42">
        <f>[1]Sheet1!F12</f>
        <v>7.1400000000000001E-5</v>
      </c>
      <c r="H12" s="42">
        <f>[1]Sheet1!G12</f>
        <v>3.4215999999999999E-3</v>
      </c>
      <c r="I12" s="42">
        <f>[1]Sheet1!H12</f>
        <v>1.1739999999999999E-3</v>
      </c>
      <c r="J12" s="42">
        <f>[1]Sheet1!I12</f>
        <v>7.64E-5</v>
      </c>
      <c r="K12" s="43">
        <f>[1]Sheet1!J12</f>
        <v>7.36E-5</v>
      </c>
    </row>
    <row r="13" spans="1:11">
      <c r="A13" s="22"/>
      <c r="C13" t="s">
        <v>22</v>
      </c>
      <c r="F13" s="31"/>
      <c r="G13" s="36">
        <f>[1]Sheet1!F13</f>
        <v>0</v>
      </c>
      <c r="H13" s="36">
        <f>[1]Sheet1!G13</f>
        <v>0</v>
      </c>
      <c r="I13" s="36">
        <f>[1]Sheet1!H13</f>
        <v>0</v>
      </c>
      <c r="J13" s="36">
        <f>[1]Sheet1!I13</f>
        <v>0</v>
      </c>
      <c r="K13" s="24">
        <f>[1]Sheet1!J13</f>
        <v>0</v>
      </c>
    </row>
    <row r="14" spans="1:11">
      <c r="A14" s="22"/>
      <c r="C14" t="s">
        <v>23</v>
      </c>
      <c r="F14" s="31"/>
      <c r="G14" s="32">
        <f>[1]Sheet1!F14</f>
        <v>0</v>
      </c>
      <c r="H14" s="32">
        <f>[1]Sheet1!G14</f>
        <v>0</v>
      </c>
      <c r="I14" s="32">
        <f>[1]Sheet1!H14</f>
        <v>0</v>
      </c>
      <c r="J14" s="32" t="str">
        <f>[1]Sheet1!I14</f>
        <v xml:space="preserve"> </v>
      </c>
      <c r="K14" s="23">
        <f>[1]Sheet1!J14</f>
        <v>0</v>
      </c>
    </row>
    <row r="15" spans="1:11">
      <c r="A15" s="22"/>
      <c r="C15" t="s">
        <v>11</v>
      </c>
      <c r="F15" s="31"/>
      <c r="G15" s="31">
        <f>[1]Sheet1!F15</f>
        <v>3354</v>
      </c>
      <c r="H15" s="31">
        <f>[1]Sheet1!G15</f>
        <v>3359</v>
      </c>
      <c r="I15" s="31">
        <f>[1]Sheet1!H15</f>
        <v>3659</v>
      </c>
      <c r="J15" s="31">
        <f>[1]Sheet1!I15</f>
        <v>3409</v>
      </c>
      <c r="K15" s="25">
        <f>[1]Sheet1!J15</f>
        <v>3277</v>
      </c>
    </row>
    <row r="16" spans="1:11">
      <c r="A16" s="22"/>
      <c r="C16" t="s">
        <v>12</v>
      </c>
      <c r="F16" s="31"/>
      <c r="G16" s="31">
        <f>[1]Sheet1!F16</f>
        <v>2626</v>
      </c>
      <c r="H16" s="31">
        <f>[1]Sheet1!G16</f>
        <v>3391</v>
      </c>
      <c r="I16" s="31">
        <f>[1]Sheet1!H16</f>
        <v>3875</v>
      </c>
      <c r="J16" s="31">
        <f>[1]Sheet1!I16</f>
        <v>3787</v>
      </c>
      <c r="K16" s="25">
        <f>[1]Sheet1!J16</f>
        <v>3278</v>
      </c>
    </row>
    <row r="17" spans="1:11">
      <c r="A17" s="22"/>
      <c r="C17" t="s">
        <v>13</v>
      </c>
      <c r="F17" s="31"/>
      <c r="G17" s="42">
        <f>[1]Sheet1!F17</f>
        <v>7.0599999999999995E-5</v>
      </c>
      <c r="H17" s="42">
        <f>[1]Sheet1!G17</f>
        <v>3.3397000000000001E-3</v>
      </c>
      <c r="I17" s="42">
        <f>[1]Sheet1!H17</f>
        <v>1.1494999999999999E-3</v>
      </c>
      <c r="J17" s="42">
        <f>[1]Sheet1!I17</f>
        <v>7.4200000000000001E-5</v>
      </c>
      <c r="K17" s="43">
        <f>[1]Sheet1!J17</f>
        <v>7.3499999999999998E-5</v>
      </c>
    </row>
    <row r="18" spans="1:11" ht="14" thickBot="1">
      <c r="A18" s="26"/>
      <c r="B18" s="27"/>
      <c r="C18" s="27" t="s">
        <v>14</v>
      </c>
      <c r="D18" s="27"/>
      <c r="E18" s="27"/>
      <c r="F18" s="28"/>
      <c r="G18" s="29">
        <f>[1]Sheet1!F18</f>
        <v>73</v>
      </c>
      <c r="H18" s="29">
        <f>[1]Sheet1!G18</f>
        <v>73</v>
      </c>
      <c r="I18" s="29">
        <f>[1]Sheet1!H18</f>
        <v>73</v>
      </c>
      <c r="J18" s="29">
        <f>[1]Sheet1!I18</f>
        <v>73</v>
      </c>
      <c r="K18" s="30">
        <f>[1]Sheet1!J18</f>
        <v>73</v>
      </c>
    </row>
    <row r="19" spans="1:11" ht="14" thickTop="1">
      <c r="F19" s="31"/>
      <c r="G19" s="32"/>
      <c r="H19" s="32"/>
      <c r="I19" s="32"/>
      <c r="J19" s="32"/>
      <c r="K19" s="32"/>
    </row>
    <row r="20" spans="1:11">
      <c r="A20" s="44"/>
      <c r="B20" s="44"/>
      <c r="C20" s="44"/>
      <c r="D20" s="44"/>
      <c r="E20" s="45"/>
      <c r="F20" s="46" t="s">
        <v>15</v>
      </c>
      <c r="G20" s="47"/>
      <c r="H20" s="48"/>
      <c r="I20" s="49" t="s">
        <v>35</v>
      </c>
      <c r="J20" s="48"/>
      <c r="K20" s="48"/>
    </row>
    <row r="21" spans="1:11" ht="16" thickBot="1">
      <c r="A21" s="50" t="s">
        <v>16</v>
      </c>
      <c r="B21" s="50" t="s">
        <v>17</v>
      </c>
      <c r="C21" s="50" t="s">
        <v>36</v>
      </c>
      <c r="D21" s="51" t="s">
        <v>37</v>
      </c>
      <c r="E21" s="52" t="s">
        <v>18</v>
      </c>
      <c r="F21" s="53" t="s">
        <v>10</v>
      </c>
      <c r="G21" s="53" t="s">
        <v>30</v>
      </c>
      <c r="H21" s="53" t="s">
        <v>31</v>
      </c>
      <c r="I21" s="53" t="s">
        <v>32</v>
      </c>
      <c r="J21" s="53" t="s">
        <v>33</v>
      </c>
      <c r="K21" s="53" t="s">
        <v>34</v>
      </c>
    </row>
    <row r="22" spans="1:11" ht="14" thickTop="1">
      <c r="A22" s="54">
        <v>19</v>
      </c>
      <c r="B22" s="55" t="s">
        <v>19</v>
      </c>
      <c r="C22" s="56"/>
      <c r="D22" s="56"/>
      <c r="E22" s="57"/>
      <c r="F22" s="58">
        <v>1</v>
      </c>
      <c r="G22" s="59">
        <v>2.2993150782510794</v>
      </c>
      <c r="H22" s="59">
        <v>66.311212117733163</v>
      </c>
      <c r="I22" s="59">
        <v>27.499629432801648</v>
      </c>
      <c r="J22" s="59">
        <v>2.3118724305873521</v>
      </c>
      <c r="K22" s="59">
        <v>2.2191190122537061</v>
      </c>
    </row>
    <row r="23" spans="1:11">
      <c r="A23" s="54">
        <v>22</v>
      </c>
      <c r="B23" s="55" t="s">
        <v>38</v>
      </c>
      <c r="C23" s="56"/>
      <c r="D23" s="56"/>
      <c r="E23" s="57"/>
      <c r="F23" s="58">
        <v>1</v>
      </c>
      <c r="G23" s="59">
        <v>2.6428222030399712E-2</v>
      </c>
      <c r="H23" s="59">
        <v>0.13368965565772128</v>
      </c>
      <c r="I23" s="59">
        <v>0.08</v>
      </c>
      <c r="J23" s="59">
        <v>0</v>
      </c>
      <c r="K23" s="59">
        <v>5.1398123475311788E-5</v>
      </c>
    </row>
    <row r="24" spans="1:11">
      <c r="A24" s="54">
        <v>3</v>
      </c>
      <c r="B24" s="55" t="s">
        <v>21</v>
      </c>
      <c r="C24" s="60"/>
      <c r="D24" s="60"/>
      <c r="E24" s="61"/>
      <c r="F24" s="62">
        <v>1</v>
      </c>
      <c r="G24" s="63">
        <v>2.25</v>
      </c>
      <c r="H24" s="63">
        <v>66</v>
      </c>
      <c r="I24" s="63">
        <v>27</v>
      </c>
      <c r="J24" s="63">
        <v>2.25</v>
      </c>
      <c r="K24" s="63">
        <v>2.25</v>
      </c>
    </row>
    <row r="25" spans="1:11">
      <c r="A25" s="54">
        <v>23</v>
      </c>
      <c r="C25" s="64"/>
      <c r="D25" s="64"/>
      <c r="E25" s="65"/>
      <c r="F25" s="58"/>
      <c r="G25" s="59"/>
      <c r="H25" s="59"/>
      <c r="I25" s="59"/>
      <c r="J25" s="59"/>
      <c r="K25" s="59"/>
    </row>
    <row r="26" spans="1:11">
      <c r="A26" s="54">
        <v>24</v>
      </c>
      <c r="B26" t="s">
        <v>39</v>
      </c>
      <c r="C26" s="55" t="s">
        <v>40</v>
      </c>
      <c r="D26" s="55"/>
      <c r="E26" s="55"/>
      <c r="F26" s="58">
        <v>1</v>
      </c>
      <c r="G26" s="59">
        <v>0.37811744417339088</v>
      </c>
      <c r="H26" s="59">
        <v>5.585866268343028</v>
      </c>
      <c r="I26" s="59">
        <v>0.05</v>
      </c>
      <c r="J26" s="59">
        <v>0</v>
      </c>
      <c r="K26" s="59">
        <v>4.9380671795818076E-5</v>
      </c>
    </row>
    <row r="27" spans="1:11">
      <c r="A27" s="54">
        <v>25</v>
      </c>
      <c r="B27" t="s">
        <v>41</v>
      </c>
      <c r="C27" s="55" t="s">
        <v>40</v>
      </c>
      <c r="D27" s="55"/>
      <c r="E27" s="55"/>
      <c r="F27" s="58">
        <v>1</v>
      </c>
      <c r="G27" s="59">
        <v>1.1388923602552075</v>
      </c>
      <c r="H27" s="59">
        <v>11.775765091180334</v>
      </c>
      <c r="I27" s="59">
        <v>11.208432325426907</v>
      </c>
      <c r="J27" s="59">
        <v>0.16328675976731097</v>
      </c>
      <c r="K27" s="59">
        <v>4.8372002251828237E-5</v>
      </c>
    </row>
    <row r="28" spans="1:11">
      <c r="A28" s="54">
        <v>26</v>
      </c>
      <c r="B28" t="s">
        <v>42</v>
      </c>
      <c r="C28" s="55" t="s">
        <v>40</v>
      </c>
      <c r="D28" s="55"/>
      <c r="E28" s="55"/>
      <c r="F28" s="58">
        <v>1</v>
      </c>
      <c r="G28" s="59">
        <v>1.6170348851566898</v>
      </c>
      <c r="H28" s="59">
        <v>20.923161407205857</v>
      </c>
      <c r="I28" s="59">
        <v>19.859180612685304</v>
      </c>
      <c r="J28" s="59">
        <v>9.0389611559392014E-2</v>
      </c>
      <c r="K28" s="59">
        <v>4.7363370238331923E-5</v>
      </c>
    </row>
    <row r="29" spans="1:11">
      <c r="A29" s="54">
        <v>27</v>
      </c>
      <c r="B29" t="s">
        <v>43</v>
      </c>
      <c r="C29" s="55" t="s">
        <v>40</v>
      </c>
      <c r="D29" s="55"/>
      <c r="E29" s="55"/>
      <c r="F29" s="58">
        <v>1</v>
      </c>
      <c r="G29" s="59">
        <v>1.9646250544942765</v>
      </c>
      <c r="H29" s="59">
        <v>30.166244084912741</v>
      </c>
      <c r="I29" s="59">
        <v>26.872461515049725</v>
      </c>
      <c r="J29" s="59">
        <v>0</v>
      </c>
      <c r="K29" s="59">
        <v>4.6354775755295685E-5</v>
      </c>
    </row>
    <row r="30" spans="1:11">
      <c r="A30" s="54">
        <v>28</v>
      </c>
      <c r="B30" t="s">
        <v>44</v>
      </c>
      <c r="C30" s="55" t="s">
        <v>40</v>
      </c>
      <c r="D30" s="55"/>
      <c r="E30" s="55"/>
      <c r="F30" s="58">
        <v>1</v>
      </c>
      <c r="G30" s="59">
        <v>2.2326969531994747</v>
      </c>
      <c r="H30" s="59">
        <v>43.105290003753048</v>
      </c>
      <c r="I30" s="59">
        <v>32.074324107862637</v>
      </c>
      <c r="J30" s="59">
        <v>0</v>
      </c>
      <c r="K30" s="59">
        <v>4.5346218802786418E-5</v>
      </c>
    </row>
    <row r="31" spans="1:11">
      <c r="A31" s="54">
        <v>29</v>
      </c>
      <c r="C31" s="55"/>
      <c r="D31" s="55"/>
      <c r="E31" s="55"/>
      <c r="F31" s="58"/>
      <c r="G31" s="66"/>
      <c r="H31" s="66"/>
      <c r="I31" s="66"/>
      <c r="J31" s="66"/>
      <c r="K31" s="66"/>
    </row>
    <row r="32" spans="1:11">
      <c r="A32" s="54">
        <v>30</v>
      </c>
      <c r="B32" t="s">
        <v>45</v>
      </c>
      <c r="C32" s="55" t="s">
        <v>46</v>
      </c>
      <c r="D32" s="55"/>
      <c r="E32" s="55"/>
      <c r="F32" s="58">
        <v>1</v>
      </c>
      <c r="G32" s="59">
        <v>0.44825892227434788</v>
      </c>
      <c r="H32" s="59">
        <v>0.64658649908050259</v>
      </c>
      <c r="I32" s="59">
        <v>0</v>
      </c>
      <c r="J32" s="59">
        <v>0</v>
      </c>
      <c r="K32" s="59">
        <v>4.3329217489215024E-5</v>
      </c>
    </row>
    <row r="33" spans="1:11">
      <c r="A33" s="54">
        <v>31</v>
      </c>
      <c r="B33" t="s">
        <v>47</v>
      </c>
      <c r="C33" s="55" t="s">
        <v>46</v>
      </c>
      <c r="D33" s="55"/>
      <c r="E33" s="55"/>
      <c r="F33" s="58">
        <v>1</v>
      </c>
      <c r="G33" s="59">
        <v>0.44129500908237945</v>
      </c>
      <c r="H33" s="59">
        <v>0.68214277419778546</v>
      </c>
      <c r="I33" s="59">
        <v>0</v>
      </c>
      <c r="J33" s="59">
        <v>0</v>
      </c>
      <c r="K33" s="59">
        <v>4.2320773128152889E-5</v>
      </c>
    </row>
    <row r="34" spans="1:11">
      <c r="A34" s="54">
        <v>32</v>
      </c>
      <c r="B34" t="s">
        <v>48</v>
      </c>
      <c r="C34" s="55" t="s">
        <v>46</v>
      </c>
      <c r="D34" s="55"/>
      <c r="E34" s="55"/>
      <c r="F34" s="58">
        <v>1</v>
      </c>
      <c r="G34" s="59">
        <v>0.47497343073747417</v>
      </c>
      <c r="H34" s="59">
        <v>0.4061910767498591</v>
      </c>
      <c r="I34" s="59">
        <v>0.18903936716081809</v>
      </c>
      <c r="J34" s="59">
        <v>0</v>
      </c>
      <c r="K34" s="59">
        <v>4.5278353462188024E-2</v>
      </c>
    </row>
    <row r="35" spans="1:11">
      <c r="A35" s="54">
        <v>33</v>
      </c>
      <c r="B35" t="s">
        <v>49</v>
      </c>
      <c r="C35" s="55" t="s">
        <v>46</v>
      </c>
      <c r="D35" s="55"/>
      <c r="E35" s="55"/>
      <c r="F35" s="58">
        <v>1</v>
      </c>
      <c r="G35" s="59">
        <v>0.84941243655470067</v>
      </c>
      <c r="H35" s="59">
        <v>3.5860749368737097</v>
      </c>
      <c r="I35" s="59">
        <v>5.3017661122161757</v>
      </c>
      <c r="J35" s="59">
        <v>0.40395644999061742</v>
      </c>
      <c r="K35" s="59">
        <v>1.0449597149559016</v>
      </c>
    </row>
    <row r="36" spans="1:11">
      <c r="A36" s="54">
        <v>34</v>
      </c>
      <c r="B36" t="s">
        <v>50</v>
      </c>
      <c r="C36" s="55" t="s">
        <v>46</v>
      </c>
      <c r="D36" s="55"/>
      <c r="E36" s="55"/>
      <c r="F36" s="58">
        <v>1</v>
      </c>
      <c r="G36" s="59">
        <v>0.90191075530118214</v>
      </c>
      <c r="H36" s="59">
        <v>5.3800175641583783</v>
      </c>
      <c r="I36" s="59">
        <v>6.6031188682679662</v>
      </c>
      <c r="J36" s="59">
        <v>1.0611299410771253</v>
      </c>
      <c r="K36" s="59">
        <v>2.4679692925501966E-2</v>
      </c>
    </row>
    <row r="37" spans="1:11">
      <c r="A37" s="54">
        <v>35</v>
      </c>
      <c r="B37" t="s">
        <v>51</v>
      </c>
      <c r="C37" s="55" t="s">
        <v>46</v>
      </c>
      <c r="D37" s="55"/>
      <c r="E37" s="55"/>
      <c r="F37" s="58">
        <v>1</v>
      </c>
      <c r="G37" s="59">
        <v>1.0412459376618501</v>
      </c>
      <c r="H37" s="59">
        <v>7.6057083065490705</v>
      </c>
      <c r="I37" s="59">
        <v>10.335553784631264</v>
      </c>
      <c r="J37" s="59">
        <v>-1.4491050478513639E-3</v>
      </c>
      <c r="K37" s="59">
        <v>5.1869312066053774E-3</v>
      </c>
    </row>
    <row r="38" spans="1:11">
      <c r="A38" s="54">
        <v>36</v>
      </c>
      <c r="B38" t="s">
        <v>52</v>
      </c>
      <c r="C38" s="55" t="s">
        <v>46</v>
      </c>
      <c r="D38" s="55"/>
      <c r="E38" s="55"/>
      <c r="F38" s="58">
        <v>1</v>
      </c>
      <c r="G38" s="59">
        <v>1.5913757781572526</v>
      </c>
      <c r="H38" s="59">
        <v>24.84587921336086</v>
      </c>
      <c r="I38" s="59">
        <v>21.981924638018388</v>
      </c>
      <c r="J38" s="59">
        <v>0</v>
      </c>
      <c r="K38" s="59">
        <v>3.7279114280345454E-5</v>
      </c>
    </row>
    <row r="39" spans="1:11">
      <c r="A39" s="54">
        <v>37</v>
      </c>
      <c r="B39" t="s">
        <v>53</v>
      </c>
      <c r="C39" s="55" t="s">
        <v>46</v>
      </c>
      <c r="D39" s="55"/>
      <c r="E39" s="55"/>
      <c r="F39" s="58">
        <v>1</v>
      </c>
      <c r="G39" s="59">
        <v>1.7074172466504036</v>
      </c>
      <c r="H39" s="59">
        <v>29.879246281854005</v>
      </c>
      <c r="I39" s="59">
        <v>24.470010948977293</v>
      </c>
      <c r="J39" s="59">
        <v>0</v>
      </c>
      <c r="K39" s="59">
        <v>3.6270895102277926E-5</v>
      </c>
    </row>
    <row r="40" spans="1:11">
      <c r="A40" s="54">
        <v>38</v>
      </c>
      <c r="B40" t="s">
        <v>54</v>
      </c>
      <c r="C40" s="55" t="s">
        <v>46</v>
      </c>
      <c r="D40" s="55"/>
      <c r="E40" s="55"/>
      <c r="F40" s="58">
        <v>1</v>
      </c>
      <c r="G40" s="59">
        <v>1.8421624746481515</v>
      </c>
      <c r="H40" s="59">
        <v>34.912645498329894</v>
      </c>
      <c r="I40" s="59">
        <v>26.810177816138108</v>
      </c>
      <c r="J40" s="59">
        <v>0</v>
      </c>
      <c r="K40" s="59">
        <v>8.7139202477012467E-3</v>
      </c>
    </row>
    <row r="41" spans="1:11">
      <c r="A41" s="54">
        <v>39</v>
      </c>
      <c r="B41" t="s">
        <v>55</v>
      </c>
      <c r="C41" s="55" t="s">
        <v>46</v>
      </c>
      <c r="D41" s="55"/>
      <c r="E41" s="55"/>
      <c r="F41" s="58">
        <v>1</v>
      </c>
      <c r="G41" s="59">
        <v>1.8592644128354288</v>
      </c>
      <c r="H41" s="59">
        <v>37.071527227172076</v>
      </c>
      <c r="I41" s="59">
        <v>27.443361571007692</v>
      </c>
      <c r="J41" s="59">
        <v>0</v>
      </c>
      <c r="K41" s="59">
        <v>3.425456933759E-5</v>
      </c>
    </row>
    <row r="42" spans="1:11">
      <c r="A42" s="54">
        <v>40</v>
      </c>
      <c r="C42" s="55"/>
      <c r="D42" s="55"/>
      <c r="E42" s="55"/>
      <c r="F42" s="58"/>
      <c r="G42" s="59"/>
      <c r="H42" s="59"/>
      <c r="I42" s="59"/>
      <c r="J42" s="59"/>
      <c r="K42" s="59"/>
    </row>
    <row r="43" spans="1:11">
      <c r="A43" s="54">
        <v>41</v>
      </c>
      <c r="B43" t="s">
        <v>56</v>
      </c>
      <c r="C43" s="55" t="s">
        <v>57</v>
      </c>
      <c r="D43" s="55"/>
      <c r="E43" s="55"/>
      <c r="F43" s="58">
        <v>1</v>
      </c>
      <c r="G43" s="59">
        <v>0.22270545265528241</v>
      </c>
      <c r="H43" s="59">
        <v>2.3090038192156128</v>
      </c>
      <c r="I43" s="59">
        <v>0.01</v>
      </c>
      <c r="J43" s="59">
        <v>0</v>
      </c>
      <c r="K43" s="59">
        <v>3.2238393694876171E-5</v>
      </c>
    </row>
    <row r="44" spans="1:11">
      <c r="A44" s="54">
        <v>42</v>
      </c>
      <c r="B44" t="s">
        <v>58</v>
      </c>
      <c r="C44" s="55" t="s">
        <v>57</v>
      </c>
      <c r="D44" s="55"/>
      <c r="E44" s="55"/>
      <c r="F44" s="58">
        <v>1</v>
      </c>
      <c r="G44" s="59">
        <v>1.0872115515481329</v>
      </c>
      <c r="H44" s="59">
        <v>10.429129213923813</v>
      </c>
      <c r="I44" s="59">
        <v>11.0403865289923</v>
      </c>
      <c r="J44" s="59">
        <v>7.6976579470820053E-2</v>
      </c>
      <c r="K44" s="59">
        <v>7.8648126252580233E-2</v>
      </c>
    </row>
    <row r="45" spans="1:11">
      <c r="A45" s="54">
        <v>43</v>
      </c>
      <c r="B45" t="s">
        <v>59</v>
      </c>
      <c r="C45" s="55" t="s">
        <v>57</v>
      </c>
      <c r="D45" s="55"/>
      <c r="E45" s="55"/>
      <c r="F45" s="58">
        <v>1</v>
      </c>
      <c r="G45" s="59">
        <v>1.4146616291236629</v>
      </c>
      <c r="H45" s="59">
        <v>16.675014605929817</v>
      </c>
      <c r="I45" s="59">
        <v>17.103440918258585</v>
      </c>
      <c r="J45" s="59">
        <v>2.1956120585475698E-2</v>
      </c>
      <c r="K45" s="59">
        <v>3.0222368174136452E-5</v>
      </c>
    </row>
    <row r="46" spans="1:11">
      <c r="A46" s="54">
        <v>44</v>
      </c>
      <c r="B46" t="s">
        <v>60</v>
      </c>
      <c r="C46" s="55" t="s">
        <v>57</v>
      </c>
      <c r="D46" s="55"/>
      <c r="E46" s="55"/>
      <c r="F46" s="58">
        <v>1</v>
      </c>
      <c r="G46" s="59">
        <v>1.7343513456558453</v>
      </c>
      <c r="H46" s="59">
        <v>25.445919866466507</v>
      </c>
      <c r="I46" s="59">
        <v>23.310355296603486</v>
      </c>
      <c r="J46" s="59">
        <v>0</v>
      </c>
      <c r="K46" s="59">
        <v>2.9214411709523602E-5</v>
      </c>
    </row>
    <row r="47" spans="1:11">
      <c r="A47" s="54">
        <v>45</v>
      </c>
      <c r="B47" t="s">
        <v>61</v>
      </c>
      <c r="C47" s="55" t="s">
        <v>57</v>
      </c>
      <c r="D47" s="55"/>
      <c r="E47" s="55"/>
      <c r="F47" s="58">
        <v>1</v>
      </c>
      <c r="G47" s="59">
        <v>1.9371586107337209</v>
      </c>
      <c r="H47" s="59">
        <v>31.241034237999624</v>
      </c>
      <c r="I47" s="59">
        <v>27.172250236629761</v>
      </c>
      <c r="J47" s="59">
        <v>0</v>
      </c>
      <c r="K47" s="59">
        <v>2.8206492775370836E-5</v>
      </c>
    </row>
    <row r="48" spans="1:11">
      <c r="A48" s="54">
        <v>46</v>
      </c>
      <c r="B48" t="s">
        <v>62</v>
      </c>
      <c r="C48" s="55" t="s">
        <v>57</v>
      </c>
      <c r="D48" s="55"/>
      <c r="E48" s="55"/>
      <c r="F48" s="58">
        <v>1</v>
      </c>
      <c r="G48" s="59">
        <v>2.0206562161381121</v>
      </c>
      <c r="H48" s="59">
        <v>35.380989735597673</v>
      </c>
      <c r="I48" s="59">
        <v>28.873176886282604</v>
      </c>
      <c r="J48" s="59">
        <v>0</v>
      </c>
      <c r="K48" s="59">
        <v>2.7198611371745035E-5</v>
      </c>
    </row>
    <row r="49" spans="1:11">
      <c r="A49" s="54">
        <v>47</v>
      </c>
      <c r="B49" t="s">
        <v>63</v>
      </c>
      <c r="C49" s="55" t="s">
        <v>57</v>
      </c>
      <c r="D49" s="55"/>
      <c r="E49" s="55"/>
      <c r="F49" s="58">
        <v>1</v>
      </c>
      <c r="G49" s="59">
        <v>2.1260313591292923</v>
      </c>
      <c r="H49" s="59">
        <v>40.410932325014073</v>
      </c>
      <c r="I49" s="59">
        <v>30.462463268849692</v>
      </c>
      <c r="J49" s="59">
        <v>0</v>
      </c>
      <c r="K49" s="59">
        <v>2.619076749857932E-5</v>
      </c>
    </row>
    <row r="50" spans="1:11">
      <c r="A50" s="54">
        <v>48</v>
      </c>
      <c r="B50" t="s">
        <v>64</v>
      </c>
      <c r="C50" s="55" t="s">
        <v>57</v>
      </c>
      <c r="D50" s="55"/>
      <c r="E50" s="55"/>
      <c r="F50" s="58">
        <v>1</v>
      </c>
      <c r="G50" s="59">
        <v>2.1854474890223305</v>
      </c>
      <c r="H50" s="59">
        <v>42.736583024057047</v>
      </c>
      <c r="I50" s="59">
        <v>31.382895056933755</v>
      </c>
      <c r="J50" s="59">
        <v>0</v>
      </c>
      <c r="K50" s="59">
        <v>2.5182961155940574E-5</v>
      </c>
    </row>
    <row r="51" spans="1:11">
      <c r="A51" s="54">
        <v>49</v>
      </c>
      <c r="B51" t="s">
        <v>65</v>
      </c>
      <c r="C51" s="55" t="s">
        <v>57</v>
      </c>
      <c r="D51" s="55"/>
      <c r="E51" s="67"/>
      <c r="F51" s="58">
        <v>1</v>
      </c>
      <c r="G51" s="59">
        <v>2.2590886085569526</v>
      </c>
      <c r="H51" s="59">
        <v>45.781133210808783</v>
      </c>
      <c r="I51" s="59">
        <v>32.379395598480009</v>
      </c>
      <c r="J51" s="59">
        <v>0</v>
      </c>
      <c r="K51" s="59">
        <v>2.4175192343795352E-5</v>
      </c>
    </row>
    <row r="52" spans="1:11">
      <c r="A52" s="54">
        <v>50</v>
      </c>
      <c r="B52" t="s">
        <v>66</v>
      </c>
      <c r="C52" s="55" t="s">
        <v>57</v>
      </c>
      <c r="D52" s="55"/>
      <c r="E52" s="67"/>
      <c r="F52" s="58">
        <v>1</v>
      </c>
      <c r="G52" s="59">
        <v>2.3272512382811033</v>
      </c>
      <c r="H52" s="59">
        <v>49.06596103047476</v>
      </c>
      <c r="I52" s="59">
        <v>33.399206416776124</v>
      </c>
      <c r="J52" s="59">
        <v>0</v>
      </c>
      <c r="K52" s="59">
        <v>2.3167461062110217E-5</v>
      </c>
    </row>
    <row r="53" spans="1:11">
      <c r="A53" s="54">
        <v>51</v>
      </c>
      <c r="C53" s="55"/>
      <c r="D53" s="55"/>
      <c r="E53" s="67"/>
      <c r="F53" s="58"/>
      <c r="G53" s="59"/>
      <c r="H53" s="59"/>
      <c r="I53" s="59"/>
      <c r="J53" s="59"/>
      <c r="K53" s="59"/>
    </row>
    <row r="54" spans="1:11">
      <c r="A54" s="54">
        <v>52</v>
      </c>
      <c r="B54" t="s">
        <v>67</v>
      </c>
      <c r="C54" s="55" t="s">
        <v>68</v>
      </c>
      <c r="D54" s="55"/>
      <c r="E54" s="67"/>
      <c r="F54" s="58">
        <v>1</v>
      </c>
      <c r="G54" s="59">
        <v>0.5506034063801839</v>
      </c>
      <c r="H54" s="59">
        <v>9.8348641219741051</v>
      </c>
      <c r="I54" s="59">
        <v>3.0165113658097198</v>
      </c>
      <c r="J54" s="59">
        <v>5.7751503771814615E-2</v>
      </c>
      <c r="K54" s="59">
        <v>2.1152111090253966E-5</v>
      </c>
    </row>
    <row r="55" spans="1:11">
      <c r="A55" s="54">
        <v>53</v>
      </c>
      <c r="B55" t="s">
        <v>69</v>
      </c>
      <c r="C55" s="55" t="s">
        <v>68</v>
      </c>
      <c r="D55" s="55"/>
      <c r="E55" s="67"/>
      <c r="F55" s="58">
        <v>1</v>
      </c>
      <c r="G55" s="59">
        <v>1.2286099063989491</v>
      </c>
      <c r="H55" s="59">
        <v>10.556331474629388</v>
      </c>
      <c r="I55" s="59">
        <v>11.696032091067742</v>
      </c>
      <c r="J55" s="59">
        <v>8.1352590579846132E-2</v>
      </c>
      <c r="K55" s="59">
        <v>0.83139442531431784</v>
      </c>
    </row>
    <row r="56" spans="1:11">
      <c r="A56" s="54">
        <v>54</v>
      </c>
      <c r="B56" t="s">
        <v>70</v>
      </c>
      <c r="C56" s="55" t="s">
        <v>68</v>
      </c>
      <c r="D56" s="55"/>
      <c r="E56" s="67"/>
      <c r="F56" s="58">
        <v>1</v>
      </c>
      <c r="G56" s="59">
        <v>1.727757407018202</v>
      </c>
      <c r="H56" s="59">
        <v>20.254590049240011</v>
      </c>
      <c r="I56" s="59">
        <v>21.101774394445489</v>
      </c>
      <c r="J56" s="59">
        <v>0.10650486620379057</v>
      </c>
      <c r="K56" s="59">
        <v>0.29493203280165131</v>
      </c>
    </row>
    <row r="57" spans="1:11">
      <c r="A57" s="54">
        <v>55</v>
      </c>
      <c r="B57" t="s">
        <v>71</v>
      </c>
      <c r="C57" s="55" t="s">
        <v>68</v>
      </c>
      <c r="D57" s="55"/>
      <c r="E57" s="67"/>
      <c r="F57" s="58">
        <v>1</v>
      </c>
      <c r="G57" s="59">
        <v>1.9019325137173952</v>
      </c>
      <c r="H57" s="59">
        <v>29.150076652655283</v>
      </c>
      <c r="I57" s="59">
        <v>26.163153514299115</v>
      </c>
      <c r="J57" s="59">
        <v>2.8641722424469898E-2</v>
      </c>
      <c r="K57" s="59">
        <v>1.8129367611187749E-5</v>
      </c>
    </row>
    <row r="58" spans="1:11">
      <c r="A58" s="54">
        <v>56</v>
      </c>
      <c r="B58" t="s">
        <v>72</v>
      </c>
      <c r="C58" s="55" t="s">
        <v>68</v>
      </c>
      <c r="D58" s="55"/>
      <c r="E58" s="67"/>
      <c r="F58" s="58">
        <v>1</v>
      </c>
      <c r="G58" s="59">
        <v>2.1642533470444736</v>
      </c>
      <c r="H58" s="59">
        <v>39.749233330080692</v>
      </c>
      <c r="I58" s="59">
        <v>30.881086179395759</v>
      </c>
      <c r="J58" s="59">
        <v>-4.4059804841433629E-3</v>
      </c>
      <c r="K58" s="59">
        <v>1.7121861512463772E-5</v>
      </c>
    </row>
    <row r="59" spans="1:11">
      <c r="A59" s="54">
        <v>57</v>
      </c>
      <c r="B59" t="s">
        <v>73</v>
      </c>
      <c r="C59" s="55" t="s">
        <v>68</v>
      </c>
      <c r="D59" s="55"/>
      <c r="E59" s="67"/>
      <c r="F59" s="58">
        <v>1</v>
      </c>
      <c r="G59" s="59">
        <v>2.2056030220679301</v>
      </c>
      <c r="H59" s="59">
        <v>40.496670906173769</v>
      </c>
      <c r="I59" s="59">
        <v>31.181772922612115</v>
      </c>
      <c r="J59" s="59">
        <v>3.573491724526172E-3</v>
      </c>
      <c r="K59" s="59">
        <v>1.6114392944266757E-5</v>
      </c>
    </row>
    <row r="60" spans="1:11">
      <c r="A60" s="54">
        <v>58</v>
      </c>
      <c r="B60" t="s">
        <v>74</v>
      </c>
      <c r="C60" s="55" t="s">
        <v>68</v>
      </c>
      <c r="D60" s="55"/>
      <c r="E60" s="67"/>
      <c r="F60" s="58">
        <v>1</v>
      </c>
      <c r="G60" s="59">
        <v>2.2712827360480392</v>
      </c>
      <c r="H60" s="59">
        <v>44.667259457646836</v>
      </c>
      <c r="I60" s="59">
        <v>32.224146287783825</v>
      </c>
      <c r="J60" s="59">
        <v>0</v>
      </c>
      <c r="K60" s="59">
        <v>1.5106961906563268E-5</v>
      </c>
    </row>
    <row r="61" spans="1:11">
      <c r="A61" s="54">
        <v>59</v>
      </c>
      <c r="B61" t="s">
        <v>75</v>
      </c>
      <c r="C61" s="55" t="s">
        <v>68</v>
      </c>
      <c r="D61" s="55"/>
      <c r="E61" s="67"/>
      <c r="F61" s="58">
        <v>1</v>
      </c>
      <c r="G61" s="59">
        <v>2.381941179395759</v>
      </c>
      <c r="H61" s="59">
        <v>47.392225984499902</v>
      </c>
      <c r="I61" s="59">
        <v>33.255805210527306</v>
      </c>
      <c r="J61" s="59">
        <v>0</v>
      </c>
      <c r="K61" s="59">
        <v>1.409956839931987E-5</v>
      </c>
    </row>
    <row r="62" spans="1:11">
      <c r="A62" s="54">
        <v>60</v>
      </c>
      <c r="B62" t="s">
        <v>76</v>
      </c>
      <c r="C62" s="55" t="s">
        <v>68</v>
      </c>
      <c r="D62" s="55"/>
      <c r="E62" s="67"/>
      <c r="F62" s="58">
        <v>1</v>
      </c>
      <c r="G62" s="59">
        <v>2.3488165438919122</v>
      </c>
      <c r="H62" s="59">
        <v>48.116206462075439</v>
      </c>
      <c r="I62" s="59">
        <v>33.155072445637082</v>
      </c>
      <c r="J62" s="59">
        <v>0</v>
      </c>
      <c r="K62" s="59">
        <v>1.3092212422603431E-5</v>
      </c>
    </row>
    <row r="63" spans="1:11">
      <c r="A63" s="54">
        <v>61</v>
      </c>
      <c r="B63" t="s">
        <v>77</v>
      </c>
      <c r="C63" s="55" t="s">
        <v>68</v>
      </c>
      <c r="D63" s="55"/>
      <c r="E63" s="67"/>
      <c r="F63" s="58">
        <v>1</v>
      </c>
      <c r="G63" s="59">
        <v>2.3672653254269096</v>
      </c>
      <c r="H63" s="59">
        <v>48.132174639688493</v>
      </c>
      <c r="I63" s="59">
        <v>33.27460697119534</v>
      </c>
      <c r="J63" s="59">
        <v>0</v>
      </c>
      <c r="K63" s="59">
        <v>1.2084893976347088E-5</v>
      </c>
    </row>
    <row r="64" spans="1:11">
      <c r="A64" s="54">
        <v>62</v>
      </c>
      <c r="C64" s="55"/>
      <c r="D64" s="55"/>
      <c r="E64" s="67"/>
      <c r="F64" s="58"/>
      <c r="G64" s="59"/>
      <c r="H64" s="59"/>
      <c r="I64" s="59"/>
      <c r="J64" s="59"/>
      <c r="K64" s="59"/>
    </row>
    <row r="65" spans="1:11">
      <c r="A65" s="54">
        <v>63</v>
      </c>
      <c r="B65" s="73">
        <v>2680</v>
      </c>
      <c r="C65" s="55" t="s">
        <v>78</v>
      </c>
      <c r="D65" s="55"/>
      <c r="E65" s="67">
        <v>350</v>
      </c>
      <c r="F65" s="58">
        <v>1</v>
      </c>
      <c r="G65" s="59">
        <v>2.6031221834490528</v>
      </c>
      <c r="H65" s="59">
        <v>59.650997573109407</v>
      </c>
      <c r="I65" s="59">
        <v>36.440461296397068</v>
      </c>
      <c r="J65" s="59">
        <v>5.0421098329893034E-2</v>
      </c>
      <c r="K65" s="59">
        <v>1.007036967534841E-5</v>
      </c>
    </row>
    <row r="66" spans="1:11">
      <c r="A66" s="54">
        <v>64</v>
      </c>
      <c r="B66" s="73">
        <v>2665</v>
      </c>
      <c r="C66" s="55" t="s">
        <v>78</v>
      </c>
      <c r="D66" s="55"/>
      <c r="E66" s="67">
        <v>500</v>
      </c>
      <c r="F66" s="58">
        <v>1</v>
      </c>
      <c r="G66" s="59">
        <v>2.8411832818540059</v>
      </c>
      <c r="H66" s="59">
        <v>75.045324471383012</v>
      </c>
      <c r="I66" s="59">
        <v>39.399652926177517</v>
      </c>
      <c r="J66" s="59">
        <v>1.151345663351472E-2</v>
      </c>
      <c r="K66" s="59">
        <v>9.0631638206060736E-6</v>
      </c>
    </row>
    <row r="67" spans="1:11">
      <c r="A67" s="54">
        <v>65</v>
      </c>
      <c r="B67" s="73">
        <v>2666</v>
      </c>
      <c r="C67" s="55" t="s">
        <v>78</v>
      </c>
      <c r="D67" s="55"/>
      <c r="E67" s="67">
        <v>550</v>
      </c>
      <c r="F67" s="58">
        <v>1</v>
      </c>
      <c r="G67" s="59">
        <v>2.9924366794895847</v>
      </c>
      <c r="H67" s="59">
        <v>84.438546034077689</v>
      </c>
      <c r="I67" s="59">
        <v>40.736986964214665</v>
      </c>
      <c r="J67" s="59">
        <v>2.34805571777069E-2</v>
      </c>
      <c r="K67" s="59">
        <v>2.2722942296866222E-2</v>
      </c>
    </row>
    <row r="68" spans="1:11">
      <c r="A68" s="54">
        <v>66</v>
      </c>
      <c r="B68" s="73">
        <v>2667</v>
      </c>
      <c r="C68" s="55" t="s">
        <v>78</v>
      </c>
      <c r="D68" s="55"/>
      <c r="E68" s="67">
        <v>575</v>
      </c>
      <c r="F68" s="58">
        <v>1</v>
      </c>
      <c r="G68" s="59">
        <v>3.012679094164008</v>
      </c>
      <c r="H68" s="59">
        <v>91.820272169412647</v>
      </c>
      <c r="I68" s="59">
        <v>41.044391298179768</v>
      </c>
      <c r="J68" s="59">
        <v>5.4412758866579099E-2</v>
      </c>
      <c r="K68" s="59">
        <v>0.11291777763182585</v>
      </c>
    </row>
    <row r="69" spans="1:11">
      <c r="A69" s="54">
        <v>67</v>
      </c>
      <c r="C69" s="55"/>
      <c r="D69" s="55"/>
      <c r="E69" s="67"/>
      <c r="F69" s="58"/>
      <c r="G69" s="59"/>
      <c r="H69" s="59"/>
      <c r="I69" s="59"/>
      <c r="J69" s="59"/>
      <c r="K69" s="59"/>
    </row>
    <row r="70" spans="1:11">
      <c r="A70" s="54">
        <v>69</v>
      </c>
      <c r="B70" t="s">
        <v>19</v>
      </c>
      <c r="C70" s="55"/>
      <c r="D70" s="55"/>
      <c r="E70" s="67"/>
      <c r="F70" s="58">
        <v>1</v>
      </c>
      <c r="G70" s="59">
        <v>2.2483184541189716</v>
      </c>
      <c r="H70" s="59">
        <v>66.173961044135865</v>
      </c>
      <c r="I70" s="59">
        <v>26.980989313998869</v>
      </c>
      <c r="J70" s="59">
        <v>2.2513709790204541</v>
      </c>
      <c r="K70" s="59">
        <v>2.2536820276975043</v>
      </c>
    </row>
    <row r="71" spans="1:11">
      <c r="A71" s="54">
        <v>70</v>
      </c>
      <c r="B71" t="s">
        <v>79</v>
      </c>
      <c r="C71" s="55"/>
      <c r="D71" s="55"/>
      <c r="E71" s="67"/>
      <c r="F71" s="58">
        <v>1</v>
      </c>
      <c r="G71" s="59">
        <v>-5.6295312441358213E-4</v>
      </c>
      <c r="H71" s="59">
        <v>0.13509734659410769</v>
      </c>
      <c r="I71" s="59">
        <v>-1.447628748357889E-3</v>
      </c>
      <c r="J71" s="59">
        <v>2.3247251942203052E-2</v>
      </c>
      <c r="K71" s="59">
        <v>1.0068680803006042E-6</v>
      </c>
    </row>
    <row r="72" spans="1:11">
      <c r="A72" s="74" t="s">
        <v>20</v>
      </c>
      <c r="B72" s="68" t="s">
        <v>21</v>
      </c>
      <c r="C72" s="69"/>
      <c r="D72" s="69"/>
      <c r="E72" s="70"/>
      <c r="F72" s="71">
        <v>1</v>
      </c>
      <c r="G72" s="72">
        <v>2.25</v>
      </c>
      <c r="H72" s="72">
        <v>66</v>
      </c>
      <c r="I72" s="72">
        <v>27</v>
      </c>
      <c r="J72" s="72">
        <v>2.25</v>
      </c>
      <c r="K72" s="72">
        <v>2.25</v>
      </c>
    </row>
  </sheetData>
  <printOptions gridLines="1" gridLinesSet="0"/>
  <pageMargins left="0.75" right="0.75" top="1" bottom="1" header="0.5" footer="0.5"/>
  <pageSetup orientation="portrait" horizontalDpi="0" verticalDpi="0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4"/>
  <sheetViews>
    <sheetView tabSelected="1" workbookViewId="0">
      <selection activeCell="M38" sqref="M38"/>
    </sheetView>
  </sheetViews>
  <sheetFormatPr baseColWidth="10" defaultColWidth="8.83203125" defaultRowHeight="13"/>
  <cols>
    <col min="1" max="2" width="8.83203125" customWidth="1"/>
    <col min="3" max="3" width="12.5" bestFit="1" customWidth="1"/>
    <col min="4" max="4" width="3.83203125" customWidth="1"/>
    <col min="5" max="6" width="8.83203125" customWidth="1"/>
    <col min="7" max="10" width="10.5" bestFit="1" customWidth="1"/>
    <col min="11" max="11" width="9.83203125" customWidth="1"/>
  </cols>
  <sheetData>
    <row r="1" spans="1:11" ht="60">
      <c r="A1" s="1" t="s">
        <v>0</v>
      </c>
    </row>
    <row r="2" spans="1:11" ht="17">
      <c r="A2" s="2" t="s">
        <v>24</v>
      </c>
      <c r="B2" s="2"/>
      <c r="C2" s="2"/>
      <c r="D2" s="3"/>
      <c r="E2" s="3"/>
      <c r="G2" s="2" t="s">
        <v>25</v>
      </c>
      <c r="H2" s="4"/>
      <c r="I2" s="5"/>
      <c r="J2" s="5"/>
      <c r="K2" s="5"/>
    </row>
    <row r="3" spans="1:11" ht="17">
      <c r="A3" s="2" t="s">
        <v>1</v>
      </c>
      <c r="B3" s="2"/>
      <c r="C3" s="2"/>
      <c r="D3" s="3"/>
      <c r="E3" s="3"/>
      <c r="G3" s="3" t="s">
        <v>26</v>
      </c>
      <c r="H3" s="4"/>
      <c r="I3" s="5"/>
      <c r="J3" s="5"/>
      <c r="K3" s="5"/>
    </row>
    <row r="4" spans="1:11" ht="17">
      <c r="A4" s="2" t="s">
        <v>2</v>
      </c>
      <c r="B4" s="2"/>
      <c r="C4" s="2"/>
      <c r="D4" s="5"/>
      <c r="E4" s="3"/>
      <c r="G4" s="3" t="s">
        <v>3</v>
      </c>
      <c r="H4" s="4"/>
      <c r="J4" s="2"/>
    </row>
    <row r="5" spans="1:11" ht="17">
      <c r="A5" s="2"/>
      <c r="B5" s="2"/>
      <c r="C5" s="2"/>
      <c r="D5" s="3"/>
      <c r="E5" s="3"/>
      <c r="G5" s="6" t="s">
        <v>27</v>
      </c>
      <c r="H5" s="4"/>
      <c r="I5" s="5" t="s">
        <v>28</v>
      </c>
      <c r="J5" s="5"/>
      <c r="K5" s="38"/>
    </row>
    <row r="6" spans="1:11" ht="16" thickBot="1">
      <c r="A6" s="7" t="s">
        <v>29</v>
      </c>
      <c r="E6" s="8"/>
      <c r="F6" s="8"/>
      <c r="G6" s="8"/>
      <c r="H6" s="9"/>
      <c r="I6" s="10"/>
    </row>
    <row r="7" spans="1:11" ht="14" thickTop="1">
      <c r="A7" s="87" t="s">
        <v>4</v>
      </c>
      <c r="B7" s="88"/>
      <c r="C7" s="88" t="s">
        <v>91</v>
      </c>
      <c r="D7" s="88"/>
      <c r="E7" s="89"/>
      <c r="F7" s="89"/>
      <c r="G7" s="89"/>
      <c r="H7" s="89"/>
      <c r="I7" s="88"/>
      <c r="J7" s="89" t="s">
        <v>5</v>
      </c>
      <c r="K7" s="90">
        <v>44151</v>
      </c>
    </row>
    <row r="8" spans="1:11">
      <c r="A8" s="91"/>
      <c r="B8" s="92"/>
      <c r="C8" s="92"/>
      <c r="D8" s="92"/>
      <c r="E8" s="93"/>
      <c r="F8" s="93"/>
      <c r="G8" s="93"/>
      <c r="H8" s="93"/>
      <c r="I8" s="92"/>
      <c r="J8" s="93" t="s">
        <v>6</v>
      </c>
      <c r="K8" s="94" t="s">
        <v>92</v>
      </c>
    </row>
    <row r="9" spans="1:11" ht="14" thickBot="1">
      <c r="A9" s="95" t="s">
        <v>7</v>
      </c>
      <c r="B9" s="96"/>
      <c r="C9" s="97" t="s">
        <v>93</v>
      </c>
      <c r="D9" s="97"/>
      <c r="E9" s="98"/>
      <c r="F9" s="98"/>
      <c r="G9" s="98"/>
      <c r="H9" s="98"/>
      <c r="I9" s="97"/>
      <c r="J9" s="93" t="s">
        <v>8</v>
      </c>
      <c r="K9" s="99" t="s">
        <v>94</v>
      </c>
    </row>
    <row r="10" spans="1:11" ht="14" thickTop="1">
      <c r="A10" s="19"/>
      <c r="B10" s="20"/>
      <c r="C10" s="20"/>
      <c r="D10" s="20"/>
      <c r="E10" s="20"/>
      <c r="F10" s="21"/>
      <c r="G10" s="100" t="s">
        <v>95</v>
      </c>
      <c r="H10" s="100" t="s">
        <v>31</v>
      </c>
      <c r="I10" s="100" t="s">
        <v>96</v>
      </c>
      <c r="J10" s="100" t="s">
        <v>97</v>
      </c>
      <c r="K10" s="101" t="s">
        <v>98</v>
      </c>
    </row>
    <row r="11" spans="1:11">
      <c r="A11" s="22"/>
      <c r="C11" t="s">
        <v>9</v>
      </c>
      <c r="F11" s="31"/>
      <c r="G11" s="32">
        <v>0</v>
      </c>
      <c r="H11" s="32">
        <v>1</v>
      </c>
      <c r="I11" s="32">
        <v>1</v>
      </c>
      <c r="J11" s="32">
        <v>1</v>
      </c>
      <c r="K11" s="23">
        <v>1</v>
      </c>
    </row>
    <row r="12" spans="1:11">
      <c r="A12" s="22"/>
      <c r="C12" t="s">
        <v>10</v>
      </c>
      <c r="F12" s="31"/>
      <c r="G12" s="42">
        <v>7.2399999999999998E-5</v>
      </c>
      <c r="H12" s="42">
        <v>3.3506E-3</v>
      </c>
      <c r="I12" s="42">
        <v>1.1781000000000001E-3</v>
      </c>
      <c r="J12" s="42">
        <v>7.7399999999999998E-5</v>
      </c>
      <c r="K12" s="43">
        <v>7.2399999999999998E-5</v>
      </c>
    </row>
    <row r="13" spans="1:11">
      <c r="A13" s="22"/>
      <c r="C13" t="s">
        <v>22</v>
      </c>
      <c r="F13" s="31"/>
      <c r="G13" s="36">
        <v>0</v>
      </c>
      <c r="H13" s="36">
        <v>0</v>
      </c>
      <c r="I13" s="36">
        <v>0</v>
      </c>
      <c r="J13" s="36">
        <v>0</v>
      </c>
      <c r="K13" s="24">
        <v>0</v>
      </c>
    </row>
    <row r="14" spans="1:11">
      <c r="A14" s="22"/>
      <c r="C14" t="s">
        <v>23</v>
      </c>
      <c r="F14" s="31"/>
      <c r="G14" s="32">
        <v>0</v>
      </c>
      <c r="H14" s="32">
        <v>0</v>
      </c>
      <c r="I14" s="32">
        <v>0</v>
      </c>
      <c r="J14" s="32" t="s">
        <v>20</v>
      </c>
      <c r="K14" s="23">
        <v>0</v>
      </c>
    </row>
    <row r="15" spans="1:11">
      <c r="A15" s="22"/>
      <c r="C15" t="s">
        <v>11</v>
      </c>
      <c r="F15" s="31"/>
      <c r="G15" s="31">
        <v>3178</v>
      </c>
      <c r="H15" s="31">
        <v>3385</v>
      </c>
      <c r="I15" s="31">
        <v>3835</v>
      </c>
      <c r="J15" s="31">
        <v>3794</v>
      </c>
      <c r="K15" s="25">
        <v>3280</v>
      </c>
    </row>
    <row r="16" spans="1:11">
      <c r="A16" s="22"/>
      <c r="C16" t="s">
        <v>12</v>
      </c>
      <c r="F16" s="31"/>
      <c r="G16" s="31">
        <v>4370</v>
      </c>
      <c r="H16" s="31">
        <v>3411</v>
      </c>
      <c r="I16" s="31">
        <v>3821</v>
      </c>
      <c r="J16" s="31">
        <v>4019</v>
      </c>
      <c r="K16" s="25">
        <v>3278</v>
      </c>
    </row>
    <row r="17" spans="1:11">
      <c r="A17" s="22"/>
      <c r="C17" t="s">
        <v>13</v>
      </c>
      <c r="F17" s="31"/>
      <c r="G17" s="42">
        <v>7.0599999999999995E-5</v>
      </c>
      <c r="H17" s="42">
        <v>3.3641999999999999E-3</v>
      </c>
      <c r="I17" s="42">
        <v>1.1804999999999999E-3</v>
      </c>
      <c r="J17" s="42">
        <v>7.5099999999999996E-5</v>
      </c>
      <c r="K17" s="43">
        <v>7.3200000000000004E-5</v>
      </c>
    </row>
    <row r="18" spans="1:11" ht="14" thickBot="1">
      <c r="A18" s="26"/>
      <c r="B18" s="27"/>
      <c r="C18" s="27" t="s">
        <v>14</v>
      </c>
      <c r="D18" s="27"/>
      <c r="E18" s="27"/>
      <c r="F18" s="28"/>
      <c r="G18" s="29">
        <v>51</v>
      </c>
      <c r="H18" s="29">
        <v>51</v>
      </c>
      <c r="I18" s="29">
        <v>51</v>
      </c>
      <c r="J18" s="29">
        <v>51</v>
      </c>
      <c r="K18" s="30">
        <v>51</v>
      </c>
    </row>
    <row r="19" spans="1:11" ht="14" thickTop="1">
      <c r="F19" s="31"/>
      <c r="G19" s="32"/>
      <c r="H19" s="32"/>
      <c r="I19" s="32"/>
      <c r="J19" s="32"/>
      <c r="K19" s="32"/>
    </row>
    <row r="20" spans="1:11">
      <c r="A20" s="102"/>
      <c r="B20" s="102"/>
      <c r="C20" s="102"/>
      <c r="D20" s="102"/>
      <c r="E20" s="103"/>
      <c r="F20" s="104" t="s">
        <v>15</v>
      </c>
      <c r="G20" s="105"/>
      <c r="H20" s="106"/>
      <c r="I20" s="107" t="s">
        <v>99</v>
      </c>
      <c r="J20" s="106"/>
      <c r="K20" s="106"/>
    </row>
    <row r="21" spans="1:11" ht="14" thickBot="1">
      <c r="A21" s="108" t="s">
        <v>16</v>
      </c>
      <c r="B21" s="108" t="s">
        <v>17</v>
      </c>
      <c r="C21" s="108" t="s">
        <v>36</v>
      </c>
      <c r="D21" s="109" t="s">
        <v>37</v>
      </c>
      <c r="E21" s="110" t="s">
        <v>18</v>
      </c>
      <c r="F21" s="111" t="s">
        <v>10</v>
      </c>
      <c r="G21" s="111" t="s">
        <v>95</v>
      </c>
      <c r="H21" s="111" t="s">
        <v>31</v>
      </c>
      <c r="I21" s="111" t="s">
        <v>96</v>
      </c>
      <c r="J21" s="111" t="s">
        <v>97</v>
      </c>
      <c r="K21" s="111" t="s">
        <v>98</v>
      </c>
    </row>
    <row r="22" spans="1:11" ht="14" thickTop="1">
      <c r="A22" s="54">
        <v>19</v>
      </c>
      <c r="B22" s="55" t="s">
        <v>19</v>
      </c>
      <c r="C22" s="56"/>
      <c r="D22" s="56"/>
      <c r="E22" s="57"/>
      <c r="F22" s="58">
        <v>1</v>
      </c>
      <c r="G22" s="59">
        <v>2.2949051741637829</v>
      </c>
      <c r="H22" s="59">
        <v>66.023794424836595</v>
      </c>
      <c r="I22" s="59">
        <v>27.535401887197231</v>
      </c>
      <c r="J22" s="59">
        <v>2.2698236997693195</v>
      </c>
      <c r="K22" s="59">
        <v>2.2432975632449055</v>
      </c>
    </row>
    <row r="23" spans="1:11">
      <c r="A23" s="54">
        <v>22</v>
      </c>
      <c r="B23" s="55" t="s">
        <v>38</v>
      </c>
      <c r="C23" s="56"/>
      <c r="D23" s="56"/>
      <c r="E23" s="57"/>
      <c r="F23" s="58">
        <v>1</v>
      </c>
      <c r="G23" s="59">
        <v>6.0739561707035877E-3</v>
      </c>
      <c r="H23" s="59">
        <v>0.14360412287581764</v>
      </c>
      <c r="I23" s="59">
        <v>8.5417295963091083E-2</v>
      </c>
      <c r="J23" s="59">
        <v>-2.8315847750865009E-3</v>
      </c>
      <c r="K23" s="59">
        <v>-8.2729719338706792E-5</v>
      </c>
    </row>
    <row r="24" spans="1:11">
      <c r="A24" s="54">
        <v>3</v>
      </c>
      <c r="B24" s="55" t="s">
        <v>21</v>
      </c>
      <c r="C24" s="112"/>
      <c r="D24" s="112"/>
      <c r="E24" s="113"/>
      <c r="F24" s="114">
        <v>1</v>
      </c>
      <c r="G24" s="115">
        <v>2.25</v>
      </c>
      <c r="H24" s="115">
        <v>66</v>
      </c>
      <c r="I24" s="115">
        <v>27</v>
      </c>
      <c r="J24" s="115">
        <v>2.25</v>
      </c>
      <c r="K24" s="115">
        <v>2.25</v>
      </c>
    </row>
    <row r="25" spans="1:11">
      <c r="A25" s="54">
        <v>23</v>
      </c>
      <c r="C25" s="64"/>
      <c r="D25" s="64"/>
      <c r="E25" s="65"/>
      <c r="F25" s="58"/>
      <c r="G25" s="59"/>
      <c r="H25" s="59"/>
      <c r="I25" s="59"/>
      <c r="J25" s="59"/>
      <c r="K25" s="59"/>
    </row>
    <row r="26" spans="1:11">
      <c r="A26" s="54">
        <v>24</v>
      </c>
      <c r="B26" t="s">
        <v>80</v>
      </c>
      <c r="C26" s="55" t="s">
        <v>81</v>
      </c>
      <c r="D26" s="55"/>
      <c r="E26" s="55"/>
      <c r="F26" s="58">
        <v>1</v>
      </c>
      <c r="G26" s="59">
        <v>0.39862564429065744</v>
      </c>
      <c r="H26" s="59">
        <v>0.76460611764705955</v>
      </c>
      <c r="I26" s="59">
        <v>3.6832799307957576E-3</v>
      </c>
      <c r="J26" s="59">
        <v>0</v>
      </c>
      <c r="K26" s="59">
        <v>0.12997449550173013</v>
      </c>
    </row>
    <row r="27" spans="1:11">
      <c r="A27" s="54">
        <v>25</v>
      </c>
      <c r="B27" t="s">
        <v>82</v>
      </c>
      <c r="C27" s="55" t="s">
        <v>81</v>
      </c>
      <c r="D27" s="55"/>
      <c r="E27" s="55"/>
      <c r="F27" s="58">
        <v>1</v>
      </c>
      <c r="G27" s="59">
        <v>0.68046797485582466</v>
      </c>
      <c r="H27" s="59">
        <v>1.3370479071895431</v>
      </c>
      <c r="I27" s="59">
        <v>3.1771359088811995</v>
      </c>
      <c r="J27" s="59">
        <v>4.566482376009226E-2</v>
      </c>
      <c r="K27" s="59">
        <v>0.7147447609381008</v>
      </c>
    </row>
    <row r="28" spans="1:11">
      <c r="A28" s="54">
        <v>26</v>
      </c>
      <c r="B28" t="s">
        <v>83</v>
      </c>
      <c r="C28" s="55" t="s">
        <v>81</v>
      </c>
      <c r="D28" s="55"/>
      <c r="E28" s="55"/>
      <c r="F28" s="58">
        <v>1</v>
      </c>
      <c r="G28" s="59">
        <v>0.87646755524798148</v>
      </c>
      <c r="H28" s="59">
        <v>4.6594004248366003</v>
      </c>
      <c r="I28" s="59">
        <v>5.9097951441753178</v>
      </c>
      <c r="J28" s="59">
        <v>0.74057210611303348</v>
      </c>
      <c r="K28" s="59">
        <v>0.5812992472126105</v>
      </c>
    </row>
    <row r="29" spans="1:11">
      <c r="A29" s="54">
        <v>27</v>
      </c>
      <c r="B29" t="s">
        <v>84</v>
      </c>
      <c r="C29" s="55" t="s">
        <v>81</v>
      </c>
      <c r="D29" s="55"/>
      <c r="E29" s="55"/>
      <c r="F29" s="58">
        <v>1</v>
      </c>
      <c r="G29" s="59">
        <v>1.0041127619377161</v>
      </c>
      <c r="H29" s="59">
        <v>7.1898398705882345</v>
      </c>
      <c r="I29" s="59">
        <v>9.8948327387543262</v>
      </c>
      <c r="J29" s="59">
        <v>7.0154984429065759E-2</v>
      </c>
      <c r="K29" s="59">
        <v>-6.853979238754714E-5</v>
      </c>
    </row>
    <row r="30" spans="1:11">
      <c r="A30" s="54">
        <v>28</v>
      </c>
      <c r="B30" t="s">
        <v>85</v>
      </c>
      <c r="C30" s="55" t="s">
        <v>81</v>
      </c>
      <c r="D30" s="55"/>
      <c r="E30" s="55"/>
      <c r="F30" s="58">
        <v>1</v>
      </c>
      <c r="G30" s="59">
        <v>1.8094004890426758</v>
      </c>
      <c r="H30" s="59">
        <v>33.777870777777778</v>
      </c>
      <c r="I30" s="59">
        <v>26.590344837716263</v>
      </c>
      <c r="J30" s="59">
        <v>0</v>
      </c>
      <c r="K30" s="59">
        <v>-6.5698116109195277E-5</v>
      </c>
    </row>
    <row r="31" spans="1:11">
      <c r="A31" s="54">
        <v>29</v>
      </c>
      <c r="B31" t="s">
        <v>86</v>
      </c>
      <c r="C31" s="55" t="s">
        <v>81</v>
      </c>
      <c r="D31" s="55"/>
      <c r="E31" s="55"/>
      <c r="F31" s="58">
        <v>1</v>
      </c>
      <c r="G31" s="66">
        <v>2.8058944306805071</v>
      </c>
      <c r="H31" s="66">
        <v>77.910699346405238</v>
      </c>
      <c r="I31" s="66">
        <v>41.485716835178778</v>
      </c>
      <c r="J31" s="66">
        <v>0</v>
      </c>
      <c r="K31" s="66">
        <v>-6.2855209534803402E-5</v>
      </c>
    </row>
    <row r="32" spans="1:11">
      <c r="A32" s="54">
        <v>30</v>
      </c>
      <c r="B32" t="s">
        <v>87</v>
      </c>
      <c r="C32" s="55" t="s">
        <v>81</v>
      </c>
      <c r="D32" s="55"/>
      <c r="E32" s="55"/>
      <c r="F32" s="58">
        <v>1</v>
      </c>
      <c r="G32" s="59">
        <v>3.0572421868512105</v>
      </c>
      <c r="H32" s="59">
        <v>103.96783377647058</v>
      </c>
      <c r="I32" s="59">
        <v>44.215722731141867</v>
      </c>
      <c r="J32" s="59">
        <v>0</v>
      </c>
      <c r="K32" s="59">
        <v>-6.0011072664371555E-5</v>
      </c>
    </row>
    <row r="33" spans="1:13">
      <c r="A33" s="54">
        <v>31</v>
      </c>
      <c r="B33" t="s">
        <v>88</v>
      </c>
      <c r="C33" s="55" t="s">
        <v>81</v>
      </c>
      <c r="D33" s="55"/>
      <c r="E33" s="55"/>
      <c r="F33" s="58">
        <v>1</v>
      </c>
      <c r="G33" s="59">
        <v>3.0999840869665509</v>
      </c>
      <c r="H33" s="59">
        <v>124.30559620130718</v>
      </c>
      <c r="I33" s="59">
        <v>44.775708884429065</v>
      </c>
      <c r="J33" s="59">
        <v>0</v>
      </c>
      <c r="K33" s="59">
        <v>3.5142617454824924E-3</v>
      </c>
    </row>
    <row r="34" spans="1:13">
      <c r="A34" s="54">
        <v>32</v>
      </c>
      <c r="B34" t="s">
        <v>89</v>
      </c>
      <c r="C34" s="55" t="s">
        <v>81</v>
      </c>
      <c r="D34" s="55"/>
      <c r="E34" s="55"/>
      <c r="F34" s="58">
        <v>1</v>
      </c>
      <c r="G34" s="59">
        <v>2.8302319192618222</v>
      </c>
      <c r="H34" s="59">
        <v>162.16110782091505</v>
      </c>
      <c r="I34" s="59">
        <v>42.029794253863898</v>
      </c>
      <c r="J34" s="59">
        <v>0</v>
      </c>
      <c r="K34" s="59">
        <v>3.101906958862139E-4</v>
      </c>
    </row>
    <row r="35" spans="1:13">
      <c r="A35" s="54">
        <v>33</v>
      </c>
      <c r="B35" t="s">
        <v>90</v>
      </c>
      <c r="C35" s="55" t="s">
        <v>81</v>
      </c>
      <c r="D35" s="55"/>
      <c r="E35" s="55"/>
      <c r="F35" s="58">
        <v>1</v>
      </c>
      <c r="G35" s="59">
        <v>2.7804350484429068</v>
      </c>
      <c r="H35" s="59">
        <v>162.12523683529412</v>
      </c>
      <c r="I35" s="59">
        <v>41.339131515916954</v>
      </c>
      <c r="J35" s="59">
        <v>0</v>
      </c>
      <c r="K35" s="59">
        <v>-5.1471280276802956E-5</v>
      </c>
    </row>
    <row r="36" spans="1:13">
      <c r="A36" s="54">
        <v>34</v>
      </c>
      <c r="C36" s="55"/>
      <c r="D36" s="55"/>
      <c r="E36" s="55"/>
      <c r="F36" s="58"/>
      <c r="G36" s="59"/>
      <c r="H36" s="59"/>
      <c r="I36" s="59"/>
      <c r="J36" s="59"/>
      <c r="K36" s="59"/>
    </row>
    <row r="37" spans="1:13">
      <c r="A37" s="54">
        <v>38</v>
      </c>
      <c r="B37" s="74" t="s">
        <v>101</v>
      </c>
      <c r="C37" s="55" t="s">
        <v>100</v>
      </c>
      <c r="D37" s="55"/>
      <c r="E37" s="55"/>
      <c r="F37" s="58">
        <v>1</v>
      </c>
      <c r="G37" s="59">
        <v>4.1437841476355244</v>
      </c>
      <c r="H37" s="59">
        <v>286.693636993464</v>
      </c>
      <c r="I37" s="59">
        <v>29.570495574625141</v>
      </c>
      <c r="J37" s="59">
        <v>0.31692514417531714</v>
      </c>
      <c r="K37" s="59">
        <v>0.98891365690119193</v>
      </c>
      <c r="M37" s="74" t="s">
        <v>102</v>
      </c>
    </row>
    <row r="38" spans="1:13">
      <c r="A38" s="74"/>
      <c r="B38" s="67"/>
      <c r="C38" s="75"/>
      <c r="D38" s="76"/>
      <c r="E38" s="77"/>
      <c r="F38" s="78"/>
      <c r="G38" s="78"/>
      <c r="H38" s="78"/>
      <c r="I38" s="78"/>
      <c r="J38" s="78"/>
    </row>
    <row r="39" spans="1:13">
      <c r="B39" s="79"/>
      <c r="C39" s="80"/>
      <c r="D39" s="81"/>
      <c r="E39" s="31"/>
      <c r="F39" s="31"/>
      <c r="G39" s="31"/>
      <c r="H39" s="31"/>
      <c r="I39" s="36"/>
      <c r="J39" s="36"/>
    </row>
    <row r="40" spans="1:13">
      <c r="B40" s="79"/>
      <c r="C40" s="80"/>
      <c r="D40" s="81"/>
      <c r="E40" s="31"/>
      <c r="F40" s="31"/>
      <c r="G40" s="31"/>
      <c r="H40" s="31"/>
      <c r="I40" s="36"/>
      <c r="J40" s="36"/>
    </row>
    <row r="41" spans="1:13">
      <c r="B41" s="79"/>
      <c r="C41" s="80"/>
      <c r="D41" s="81"/>
      <c r="E41" s="31"/>
      <c r="F41" s="31"/>
      <c r="G41" s="31"/>
      <c r="H41" s="31"/>
      <c r="I41" s="36"/>
      <c r="J41" s="36"/>
    </row>
    <row r="42" spans="1:13">
      <c r="B42" s="82"/>
      <c r="C42" s="80"/>
      <c r="D42" s="81"/>
      <c r="E42" s="31"/>
      <c r="F42" s="31"/>
      <c r="G42" s="31"/>
      <c r="H42" s="31"/>
      <c r="I42" s="36"/>
      <c r="J42" s="36"/>
    </row>
    <row r="43" spans="1:13">
      <c r="B43" s="82"/>
      <c r="C43" s="80"/>
      <c r="D43" s="81"/>
      <c r="E43" s="31"/>
      <c r="F43" s="116"/>
      <c r="G43" s="116"/>
      <c r="H43" s="116"/>
      <c r="I43" s="36"/>
      <c r="J43" s="36"/>
    </row>
    <row r="44" spans="1:13">
      <c r="B44" s="82"/>
      <c r="C44" s="80"/>
      <c r="D44" s="81"/>
      <c r="E44" s="31"/>
      <c r="F44" s="31"/>
      <c r="G44" s="31"/>
      <c r="H44" s="31"/>
      <c r="I44" s="36"/>
      <c r="J44" s="36"/>
    </row>
    <row r="45" spans="1:13">
      <c r="B45" s="82"/>
      <c r="C45" s="80"/>
      <c r="D45" s="81"/>
      <c r="E45" s="31"/>
      <c r="F45" s="31"/>
      <c r="G45" s="31"/>
      <c r="H45" s="31"/>
      <c r="I45" s="36"/>
      <c r="J45" s="36"/>
    </row>
    <row r="46" spans="1:13">
      <c r="B46" s="82"/>
      <c r="C46" s="80"/>
      <c r="D46" s="81"/>
      <c r="E46" s="31"/>
      <c r="F46" s="31"/>
      <c r="G46" s="31"/>
      <c r="H46" s="31"/>
      <c r="I46" s="36"/>
      <c r="J46" s="36"/>
    </row>
    <row r="47" spans="1:13">
      <c r="B47" s="79"/>
      <c r="C47" s="80"/>
      <c r="D47" s="81"/>
      <c r="E47" s="31"/>
      <c r="F47" s="31"/>
      <c r="G47" s="31"/>
      <c r="H47" s="31"/>
      <c r="I47" s="36"/>
      <c r="J47" s="36"/>
    </row>
    <row r="48" spans="1:13">
      <c r="B48" s="79"/>
      <c r="C48" s="81"/>
      <c r="D48" s="81"/>
      <c r="E48" s="31"/>
      <c r="F48" s="31"/>
      <c r="G48" s="31"/>
      <c r="H48" s="31"/>
      <c r="I48" s="36"/>
      <c r="J48" s="36"/>
    </row>
    <row r="49" spans="1:10">
      <c r="B49" s="79"/>
      <c r="C49" s="81"/>
      <c r="D49" s="81"/>
      <c r="E49" s="31"/>
      <c r="F49" s="31"/>
      <c r="G49" s="31"/>
      <c r="H49" s="31"/>
      <c r="I49" s="36"/>
      <c r="J49" s="36"/>
    </row>
    <row r="50" spans="1:10">
      <c r="B50" s="79"/>
      <c r="C50" s="81"/>
      <c r="D50" s="81"/>
      <c r="E50" s="31"/>
      <c r="F50" s="31"/>
      <c r="G50" s="31"/>
      <c r="H50" s="31"/>
      <c r="I50" s="36"/>
      <c r="J50" s="36"/>
    </row>
    <row r="51" spans="1:10">
      <c r="B51" s="117"/>
      <c r="C51" s="118"/>
      <c r="D51" s="119"/>
      <c r="E51" s="120"/>
      <c r="F51" s="120"/>
      <c r="G51" s="120"/>
      <c r="H51" s="120"/>
      <c r="I51" s="36"/>
      <c r="J51" s="36"/>
    </row>
    <row r="52" spans="1:10">
      <c r="A52" s="74"/>
      <c r="B52" s="67"/>
      <c r="C52" s="83"/>
      <c r="D52" s="84"/>
      <c r="E52" s="85"/>
      <c r="F52" s="78"/>
      <c r="G52" s="78"/>
      <c r="H52" s="78"/>
      <c r="I52" s="78"/>
      <c r="J52" s="78"/>
    </row>
    <row r="53" spans="1:10">
      <c r="A53" s="74"/>
      <c r="B53" s="67"/>
      <c r="C53" s="83"/>
      <c r="D53" s="84"/>
      <c r="E53" s="86"/>
      <c r="F53" s="78"/>
      <c r="G53" s="78"/>
      <c r="H53" s="78"/>
      <c r="I53" s="78"/>
      <c r="J53" s="78"/>
    </row>
    <row r="54" spans="1:10">
      <c r="A54" s="74"/>
      <c r="B54" s="67"/>
      <c r="C54" s="83"/>
      <c r="D54" s="84"/>
      <c r="E54" s="86"/>
      <c r="F54" s="78"/>
      <c r="G54" s="78"/>
      <c r="H54" s="78"/>
      <c r="I54" s="78"/>
      <c r="J54" s="78"/>
    </row>
    <row r="55" spans="1:10">
      <c r="A55" s="74"/>
      <c r="B55" s="67"/>
      <c r="C55" s="83"/>
      <c r="D55" s="84"/>
      <c r="E55" s="86"/>
      <c r="F55" s="78"/>
      <c r="G55" s="78"/>
      <c r="H55" s="78"/>
      <c r="I55" s="78"/>
      <c r="J55" s="78"/>
    </row>
    <row r="56" spans="1:10">
      <c r="A56" s="74"/>
      <c r="B56" s="67"/>
      <c r="C56" s="83"/>
      <c r="D56" s="84"/>
      <c r="E56" s="86"/>
      <c r="F56" s="78"/>
      <c r="G56" s="78"/>
      <c r="H56" s="78"/>
      <c r="I56" s="78"/>
      <c r="J56" s="78"/>
    </row>
    <row r="57" spans="1:10">
      <c r="A57" s="74"/>
      <c r="B57" s="67"/>
      <c r="C57" s="83"/>
      <c r="D57" s="84"/>
      <c r="E57" s="86"/>
      <c r="F57" s="78"/>
      <c r="G57" s="78"/>
      <c r="H57" s="78"/>
      <c r="I57" s="78"/>
      <c r="J57" s="78"/>
    </row>
    <row r="58" spans="1:10">
      <c r="A58" s="74"/>
      <c r="B58" s="67"/>
      <c r="C58" s="83"/>
      <c r="D58" s="84"/>
      <c r="E58" s="86"/>
      <c r="F58" s="78"/>
      <c r="G58" s="78"/>
      <c r="H58" s="78"/>
      <c r="I58" s="78"/>
      <c r="J58" s="78"/>
    </row>
    <row r="59" spans="1:10">
      <c r="A59" s="74"/>
      <c r="B59" s="67"/>
      <c r="C59" s="83"/>
      <c r="D59" s="84"/>
      <c r="E59" s="86"/>
      <c r="F59" s="78"/>
      <c r="G59" s="78"/>
      <c r="H59" s="78"/>
      <c r="I59" s="78"/>
      <c r="J59" s="78"/>
    </row>
    <row r="60" spans="1:10">
      <c r="A60" s="74"/>
      <c r="B60" s="67"/>
      <c r="C60" s="55"/>
      <c r="D60" s="84"/>
      <c r="E60" s="86"/>
      <c r="F60" s="78"/>
      <c r="G60" s="78"/>
      <c r="H60" s="78"/>
      <c r="I60" s="78"/>
      <c r="J60" s="78"/>
    </row>
    <row r="61" spans="1:10">
      <c r="A61" s="74"/>
      <c r="B61" s="67"/>
      <c r="C61" s="55"/>
      <c r="D61" s="84"/>
      <c r="E61" s="86"/>
      <c r="F61" s="78"/>
      <c r="G61" s="78"/>
      <c r="H61" s="78"/>
      <c r="I61" s="78"/>
      <c r="J61" s="78"/>
    </row>
    <row r="62" spans="1:10">
      <c r="A62" s="74"/>
      <c r="B62" s="67"/>
      <c r="C62" s="55"/>
      <c r="D62" s="84"/>
      <c r="E62" s="86"/>
      <c r="F62" s="78"/>
      <c r="G62" s="78"/>
      <c r="H62" s="78"/>
      <c r="I62" s="78"/>
      <c r="J62" s="78"/>
    </row>
    <row r="63" spans="1:10">
      <c r="A63" s="74"/>
      <c r="B63" s="67"/>
      <c r="C63" s="55"/>
      <c r="D63" s="84"/>
      <c r="E63" s="86"/>
      <c r="F63" s="78"/>
      <c r="G63" s="78"/>
      <c r="H63" s="78"/>
      <c r="I63" s="78"/>
      <c r="J63" s="78"/>
    </row>
    <row r="64" spans="1:10">
      <c r="A64" s="74"/>
      <c r="B64" s="67"/>
      <c r="C64" s="55"/>
      <c r="D64" s="84"/>
      <c r="E64" s="86"/>
      <c r="F64" s="78"/>
      <c r="G64" s="78"/>
      <c r="H64" s="78"/>
      <c r="I64" s="78"/>
      <c r="J64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dc:description>Single sheet, customer's calculated values</dc:description>
  <cp:lastModifiedBy>Wendi Ruef</cp:lastModifiedBy>
  <dcterms:created xsi:type="dcterms:W3CDTF">2003-02-24T20:48:50Z</dcterms:created>
  <dcterms:modified xsi:type="dcterms:W3CDTF">2021-05-05T19:30:44Z</dcterms:modified>
</cp:coreProperties>
</file>