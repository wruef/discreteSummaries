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F3310B89-0DAA-6C43-5919-0D5897632BE8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wruef/githubRepos/discreteSummaries/Cabled-16_AT5041_2025-08-04/"/>
    </mc:Choice>
  </mc:AlternateContent>
  <xr:revisionPtr revIDLastSave="0" documentId="13_ncr:1_{13ADC9F3-EEDE-E946-82A9-C40D3F8F23CF}" xr6:coauthVersionLast="47" xr6:coauthVersionMax="47" xr10:uidLastSave="{00000000-0000-0000-0000-000000000000}"/>
  <bookViews>
    <workbookView xWindow="20280" yWindow="-19280" windowWidth="32980" windowHeight="18840" activeTab="8" xr2:uid="{00000000-000D-0000-FFFF-FFFF00000000}"/>
  </bookViews>
  <sheets>
    <sheet name="README" sheetId="23" r:id="rId1"/>
    <sheet name="CastList" sheetId="8" r:id="rId2"/>
    <sheet name="CastLog_ROV" sheetId="21" r:id="rId3"/>
    <sheet name="SampleList" sheetId="7" r:id="rId4"/>
    <sheet name="OxygenLog_all" sheetId="18" r:id="rId5"/>
    <sheet name="ChloroLog_all" sheetId="24" r:id="rId6"/>
    <sheet name="CTDflags" sheetId="20" r:id="rId7"/>
    <sheet name="CTDflags_ROV" sheetId="22" r:id="rId8"/>
    <sheet name="++OxygenParameters++" sheetId="11" r:id="rId9"/>
    <sheet name="_Flags_" sheetId="9" r:id="rId10"/>
    <sheet name="_NiskinBottles_" sheetId="10" r:id="rId11"/>
    <sheet name="  _Stations_  " sheetId="12" r:id="rId12"/>
    <sheet name="_TargetAssets_" sheetId="13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9" i="18" l="1"/>
  <c r="V9" i="18"/>
  <c r="I134" i="18" s="1"/>
  <c r="W8" i="18"/>
  <c r="V8" i="18"/>
  <c r="J136" i="18"/>
  <c r="I136" i="18"/>
  <c r="J135" i="18"/>
  <c r="I135" i="18"/>
  <c r="J134" i="18"/>
  <c r="J133" i="18"/>
  <c r="I133" i="18"/>
  <c r="J132" i="18"/>
  <c r="I132" i="18"/>
  <c r="J131" i="18"/>
  <c r="I131" i="18"/>
  <c r="J130" i="18"/>
  <c r="I130" i="18"/>
  <c r="J129" i="18"/>
  <c r="I129" i="18"/>
  <c r="J128" i="18"/>
  <c r="I128" i="18"/>
  <c r="J127" i="18"/>
  <c r="I127" i="18"/>
  <c r="J126" i="18"/>
  <c r="I126" i="18"/>
  <c r="J125" i="18"/>
  <c r="I125" i="18"/>
  <c r="J124" i="18"/>
  <c r="I124" i="18"/>
  <c r="J123" i="18"/>
  <c r="I123" i="18"/>
  <c r="J122" i="18"/>
  <c r="I122" i="18"/>
  <c r="J121" i="18"/>
  <c r="I121" i="18"/>
  <c r="J120" i="18"/>
  <c r="I120" i="18"/>
  <c r="J119" i="18"/>
  <c r="I119" i="18"/>
  <c r="J118" i="18"/>
  <c r="I118" i="18"/>
  <c r="J117" i="18"/>
  <c r="I117" i="18"/>
  <c r="J116" i="18"/>
  <c r="I116" i="18"/>
  <c r="J115" i="18"/>
  <c r="I115" i="18"/>
  <c r="J114" i="18"/>
  <c r="I114" i="18"/>
  <c r="J113" i="18"/>
  <c r="I113" i="18"/>
  <c r="J112" i="18"/>
  <c r="I112" i="18"/>
  <c r="J111" i="18"/>
  <c r="I111" i="18"/>
  <c r="J110" i="18"/>
  <c r="I110" i="18"/>
  <c r="J109" i="18"/>
  <c r="I109" i="18"/>
  <c r="J108" i="18"/>
  <c r="I108" i="18"/>
  <c r="J107" i="18"/>
  <c r="I107" i="18"/>
  <c r="J106" i="18"/>
  <c r="I106" i="18"/>
  <c r="J105" i="18"/>
  <c r="I105" i="18"/>
  <c r="J104" i="18"/>
  <c r="I104" i="18"/>
  <c r="J103" i="18"/>
  <c r="I103" i="18"/>
  <c r="J102" i="18"/>
  <c r="I102" i="18"/>
  <c r="J101" i="18"/>
  <c r="I101" i="18"/>
  <c r="W7" i="18"/>
  <c r="V7" i="18"/>
  <c r="J100" i="18"/>
  <c r="I100" i="18"/>
  <c r="J99" i="18"/>
  <c r="I99" i="18"/>
  <c r="J98" i="18"/>
  <c r="I98" i="18"/>
  <c r="J97" i="18"/>
  <c r="I97" i="18"/>
  <c r="W6" i="18"/>
  <c r="V6" i="18"/>
  <c r="W5" i="18"/>
  <c r="V5" i="18"/>
  <c r="W4" i="18"/>
  <c r="A17" i="18" l="1" a="1"/>
  <c r="F136" i="18" l="1"/>
  <c r="K136" i="18" s="1"/>
  <c r="F126" i="18"/>
  <c r="K126" i="18" s="1"/>
  <c r="F116" i="18"/>
  <c r="K116" i="18" s="1"/>
  <c r="F106" i="18"/>
  <c r="K106" i="18" s="1"/>
  <c r="F96" i="18"/>
  <c r="F86" i="18"/>
  <c r="F76" i="18"/>
  <c r="F66" i="18"/>
  <c r="F56" i="18"/>
  <c r="F46" i="18"/>
  <c r="F36" i="18"/>
  <c r="F26" i="18"/>
  <c r="F133" i="18"/>
  <c r="K133" i="18" s="1"/>
  <c r="F103" i="18"/>
  <c r="K103" i="18" s="1"/>
  <c r="F63" i="18"/>
  <c r="F23" i="18"/>
  <c r="F112" i="18"/>
  <c r="K112" i="18" s="1"/>
  <c r="F102" i="18"/>
  <c r="K102" i="18" s="1"/>
  <c r="F72" i="18"/>
  <c r="F42" i="18"/>
  <c r="F121" i="18"/>
  <c r="K121" i="18" s="1"/>
  <c r="F81" i="18"/>
  <c r="F51" i="18"/>
  <c r="F21" i="18"/>
  <c r="F130" i="18"/>
  <c r="K130" i="18" s="1"/>
  <c r="F80" i="18"/>
  <c r="F50" i="18"/>
  <c r="F20" i="18"/>
  <c r="F119" i="18"/>
  <c r="K119" i="18" s="1"/>
  <c r="F89" i="18"/>
  <c r="F59" i="18"/>
  <c r="F29" i="18"/>
  <c r="F108" i="18"/>
  <c r="K108" i="18" s="1"/>
  <c r="F68" i="18"/>
  <c r="F48" i="18"/>
  <c r="F18" i="18"/>
  <c r="F127" i="18"/>
  <c r="K127" i="18" s="1"/>
  <c r="F97" i="18"/>
  <c r="K97" i="18" s="1"/>
  <c r="F77" i="18"/>
  <c r="F57" i="18"/>
  <c r="F37" i="18"/>
  <c r="F17" i="18"/>
  <c r="F135" i="18"/>
  <c r="K135" i="18" s="1"/>
  <c r="F125" i="18"/>
  <c r="K125" i="18" s="1"/>
  <c r="F115" i="18"/>
  <c r="K115" i="18" s="1"/>
  <c r="F105" i="18"/>
  <c r="K105" i="18" s="1"/>
  <c r="F95" i="18"/>
  <c r="F85" i="18"/>
  <c r="F75" i="18"/>
  <c r="F65" i="18"/>
  <c r="F55" i="18"/>
  <c r="F45" i="18"/>
  <c r="F35" i="18"/>
  <c r="F25" i="18"/>
  <c r="F113" i="18"/>
  <c r="K113" i="18" s="1"/>
  <c r="F83" i="18"/>
  <c r="F73" i="18"/>
  <c r="F43" i="18"/>
  <c r="F33" i="18"/>
  <c r="F132" i="18"/>
  <c r="K132" i="18" s="1"/>
  <c r="F82" i="18"/>
  <c r="F52" i="18"/>
  <c r="F111" i="18"/>
  <c r="K111" i="18" s="1"/>
  <c r="F71" i="18"/>
  <c r="F41" i="18"/>
  <c r="F120" i="18"/>
  <c r="K120" i="18" s="1"/>
  <c r="F100" i="18"/>
  <c r="K100" i="18" s="1"/>
  <c r="F60" i="18"/>
  <c r="F30" i="18"/>
  <c r="F109" i="18"/>
  <c r="K109" i="18" s="1"/>
  <c r="F79" i="18"/>
  <c r="F49" i="18"/>
  <c r="F19" i="18"/>
  <c r="F128" i="18"/>
  <c r="K128" i="18" s="1"/>
  <c r="F78" i="18"/>
  <c r="F28" i="18"/>
  <c r="F117" i="18"/>
  <c r="K117" i="18" s="1"/>
  <c r="F87" i="18"/>
  <c r="F67" i="18"/>
  <c r="F47" i="18"/>
  <c r="F27" i="18"/>
  <c r="F134" i="18"/>
  <c r="K134" i="18" s="1"/>
  <c r="F124" i="18"/>
  <c r="K124" i="18" s="1"/>
  <c r="F114" i="18"/>
  <c r="K114" i="18" s="1"/>
  <c r="F104" i="18"/>
  <c r="K104" i="18" s="1"/>
  <c r="F94" i="18"/>
  <c r="F84" i="18"/>
  <c r="F74" i="18"/>
  <c r="F64" i="18"/>
  <c r="F54" i="18"/>
  <c r="F44" i="18"/>
  <c r="F34" i="18"/>
  <c r="F24" i="18"/>
  <c r="F123" i="18"/>
  <c r="K123" i="18" s="1"/>
  <c r="F93" i="18"/>
  <c r="F53" i="18"/>
  <c r="F122" i="18"/>
  <c r="K122" i="18" s="1"/>
  <c r="F92" i="18"/>
  <c r="F62" i="18"/>
  <c r="F22" i="18"/>
  <c r="F101" i="18"/>
  <c r="K101" i="18" s="1"/>
  <c r="F91" i="18"/>
  <c r="F61" i="18"/>
  <c r="F31" i="18"/>
  <c r="F110" i="18"/>
  <c r="K110" i="18" s="1"/>
  <c r="F90" i="18"/>
  <c r="F70" i="18"/>
  <c r="F40" i="18"/>
  <c r="F129" i="18"/>
  <c r="K129" i="18" s="1"/>
  <c r="F99" i="18"/>
  <c r="K99" i="18" s="1"/>
  <c r="F69" i="18"/>
  <c r="F39" i="18"/>
  <c r="F118" i="18"/>
  <c r="K118" i="18" s="1"/>
  <c r="F58" i="18"/>
  <c r="F38" i="18"/>
  <c r="F98" i="18"/>
  <c r="K98" i="18" s="1"/>
  <c r="F32" i="18"/>
  <c r="F131" i="18"/>
  <c r="K131" i="18" s="1"/>
  <c r="F88" i="18"/>
  <c r="F107" i="18"/>
  <c r="K107" i="18" s="1"/>
  <c r="A17" i="18"/>
  <c r="E10" i="24" l="1" a="1"/>
  <c r="E10" i="24" s="1"/>
  <c r="A10" i="24" a="1"/>
  <c r="A10" i="24" s="1"/>
  <c r="J65" i="18" l="1"/>
  <c r="J61" i="18"/>
  <c r="J76" i="18"/>
  <c r="I93" i="18"/>
  <c r="V4" i="18"/>
  <c r="I59" i="18" s="1"/>
  <c r="J59" i="18"/>
  <c r="J82" i="18" l="1"/>
  <c r="J88" i="18"/>
  <c r="J66" i="18"/>
  <c r="J80" i="18"/>
  <c r="J96" i="18"/>
  <c r="J62" i="18"/>
  <c r="J67" i="18"/>
  <c r="J94" i="18"/>
  <c r="J71" i="18"/>
  <c r="J87" i="18"/>
  <c r="J91" i="18"/>
  <c r="J92" i="18"/>
  <c r="J84" i="18"/>
  <c r="J89" i="18"/>
  <c r="J73" i="18"/>
  <c r="J64" i="18"/>
  <c r="J63" i="18"/>
  <c r="J90" i="18"/>
  <c r="J86" i="18"/>
  <c r="J95" i="18"/>
  <c r="J78" i="18"/>
  <c r="J69" i="18"/>
  <c r="J68" i="18"/>
  <c r="J83" i="18"/>
  <c r="J79" i="18"/>
  <c r="J60" i="18"/>
  <c r="J58" i="18"/>
  <c r="J74" i="18"/>
  <c r="J72" i="18"/>
  <c r="J77" i="18"/>
  <c r="J81" i="18"/>
  <c r="J93" i="18"/>
  <c r="K93" i="18" s="1"/>
  <c r="J85" i="18"/>
  <c r="J75" i="18"/>
  <c r="J70" i="18"/>
  <c r="I74" i="18"/>
  <c r="I64" i="18"/>
  <c r="I82" i="18"/>
  <c r="K82" i="18" s="1"/>
  <c r="I86" i="18"/>
  <c r="I79" i="18"/>
  <c r="I70" i="18"/>
  <c r="I91" i="18"/>
  <c r="K91" i="18" s="1"/>
  <c r="I73" i="18"/>
  <c r="I60" i="18"/>
  <c r="I66" i="18"/>
  <c r="I77" i="18"/>
  <c r="I63" i="18"/>
  <c r="I65" i="18"/>
  <c r="K65" i="18" s="1"/>
  <c r="I68" i="18"/>
  <c r="I71" i="18"/>
  <c r="I96" i="18"/>
  <c r="I80" i="18"/>
  <c r="I78" i="18"/>
  <c r="K78" i="18" s="1"/>
  <c r="I90" i="18"/>
  <c r="I76" i="18"/>
  <c r="K76" i="18" s="1"/>
  <c r="I61" i="18"/>
  <c r="K61" i="18" s="1"/>
  <c r="K59" i="18"/>
  <c r="I89" i="18"/>
  <c r="I85" i="18"/>
  <c r="I69" i="18"/>
  <c r="K69" i="18" s="1"/>
  <c r="I87" i="18"/>
  <c r="I83" i="18"/>
  <c r="I84" i="18"/>
  <c r="K84" i="18" s="1"/>
  <c r="I75" i="18"/>
  <c r="I62" i="18"/>
  <c r="I58" i="18"/>
  <c r="I92" i="18"/>
  <c r="I81" i="18"/>
  <c r="I94" i="18"/>
  <c r="I88" i="18"/>
  <c r="I95" i="18"/>
  <c r="I72" i="18"/>
  <c r="I67" i="18"/>
  <c r="J54" i="18"/>
  <c r="J56" i="18"/>
  <c r="J53" i="18"/>
  <c r="J57" i="18"/>
  <c r="J52" i="18"/>
  <c r="J55" i="18"/>
  <c r="I54" i="18"/>
  <c r="I57" i="18"/>
  <c r="I53" i="18"/>
  <c r="I52" i="18"/>
  <c r="I56" i="18"/>
  <c r="I55" i="18"/>
  <c r="J36" i="18"/>
  <c r="J31" i="18"/>
  <c r="J27" i="18"/>
  <c r="J22" i="18"/>
  <c r="J18" i="18"/>
  <c r="J34" i="18"/>
  <c r="J29" i="18"/>
  <c r="J28" i="18"/>
  <c r="J39" i="18"/>
  <c r="J20" i="18"/>
  <c r="J33" i="18"/>
  <c r="J35" i="18"/>
  <c r="J26" i="18"/>
  <c r="J21" i="18"/>
  <c r="J17" i="18"/>
  <c r="J30" i="18"/>
  <c r="J24" i="18"/>
  <c r="J25" i="18"/>
  <c r="J23" i="18"/>
  <c r="J38" i="18"/>
  <c r="J37" i="18"/>
  <c r="J32" i="18"/>
  <c r="J19" i="18"/>
  <c r="I36" i="18"/>
  <c r="I31" i="18"/>
  <c r="I22" i="18"/>
  <c r="I34" i="18"/>
  <c r="I19" i="18"/>
  <c r="I27" i="18"/>
  <c r="I18" i="18"/>
  <c r="I39" i="18"/>
  <c r="I32" i="18"/>
  <c r="I35" i="18"/>
  <c r="I21" i="18"/>
  <c r="I30" i="18"/>
  <c r="I23" i="18"/>
  <c r="I26" i="18"/>
  <c r="I17" i="18"/>
  <c r="I25" i="18"/>
  <c r="I20" i="18"/>
  <c r="I37" i="18"/>
  <c r="I38" i="18"/>
  <c r="I33" i="18"/>
  <c r="I29" i="18"/>
  <c r="I24" i="18"/>
  <c r="I28" i="18"/>
  <c r="I50" i="18"/>
  <c r="I45" i="18"/>
  <c r="I41" i="18"/>
  <c r="I40" i="18"/>
  <c r="I49" i="18"/>
  <c r="I44" i="18"/>
  <c r="I48" i="18"/>
  <c r="I43" i="18"/>
  <c r="I46" i="18"/>
  <c r="I51" i="18"/>
  <c r="I47" i="18"/>
  <c r="I42" i="18"/>
  <c r="J45" i="18"/>
  <c r="J51" i="18"/>
  <c r="J40" i="18"/>
  <c r="J49" i="18"/>
  <c r="J44" i="18"/>
  <c r="J48" i="18"/>
  <c r="J47" i="18"/>
  <c r="J50" i="18"/>
  <c r="J43" i="18"/>
  <c r="J42" i="18"/>
  <c r="J46" i="18"/>
  <c r="J41" i="18"/>
  <c r="K74" i="18" l="1"/>
  <c r="K87" i="18"/>
  <c r="K92" i="18"/>
  <c r="K88" i="18"/>
  <c r="K66" i="18"/>
  <c r="K77" i="18"/>
  <c r="K79" i="18"/>
  <c r="K89" i="18"/>
  <c r="K94" i="18"/>
  <c r="K64" i="18"/>
  <c r="K60" i="18"/>
  <c r="K62" i="18"/>
  <c r="K80" i="18"/>
  <c r="K63" i="18"/>
  <c r="K75" i="18"/>
  <c r="K73" i="18"/>
  <c r="K95" i="18"/>
  <c r="K96" i="18"/>
  <c r="K67" i="18"/>
  <c r="K72" i="18"/>
  <c r="K71" i="18"/>
  <c r="K58" i="18"/>
  <c r="K70" i="18"/>
  <c r="K32" i="18"/>
  <c r="K85" i="18"/>
  <c r="K68" i="18"/>
  <c r="K90" i="18"/>
  <c r="K83" i="18"/>
  <c r="K81" i="18"/>
  <c r="K86" i="18"/>
  <c r="K24" i="18"/>
  <c r="K29" i="18"/>
  <c r="K30" i="18"/>
  <c r="K56" i="18"/>
  <c r="K35" i="18"/>
  <c r="K31" i="18"/>
  <c r="K36" i="18"/>
  <c r="K22" i="18"/>
  <c r="K42" i="18"/>
  <c r="K48" i="18"/>
  <c r="K49" i="18"/>
  <c r="K25" i="18"/>
  <c r="K28" i="18"/>
  <c r="K50" i="18"/>
  <c r="K47" i="18"/>
  <c r="K55" i="18"/>
  <c r="K38" i="18"/>
  <c r="K20" i="18"/>
  <c r="K44" i="18"/>
  <c r="K39" i="18"/>
  <c r="K57" i="18"/>
  <c r="K41" i="18"/>
  <c r="K51" i="18"/>
  <c r="K43" i="18"/>
  <c r="K23" i="18"/>
  <c r="K34" i="18"/>
  <c r="K54" i="18"/>
  <c r="K46" i="18"/>
  <c r="K45" i="18"/>
  <c r="K17" i="18"/>
  <c r="K18" i="18"/>
  <c r="K52" i="18"/>
  <c r="K21" i="18"/>
  <c r="K53" i="18"/>
  <c r="K37" i="18"/>
  <c r="K40" i="18"/>
  <c r="K33" i="18"/>
  <c r="K19" i="18"/>
  <c r="K26" i="18"/>
  <c r="K27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<sst xmlns="http://schemas.openxmlformats.org/spreadsheetml/2006/main" count="2051" uniqueCount="667">
  <si>
    <t>Notes</t>
  </si>
  <si>
    <t>Cruise:</t>
  </si>
  <si>
    <t>Pipette Volume:</t>
  </si>
  <si>
    <t>Standard Normality:</t>
  </si>
  <si>
    <t>General comments:</t>
  </si>
  <si>
    <t>Cast #</t>
  </si>
  <si>
    <t>Depth (m)</t>
  </si>
  <si>
    <t>Niskin #</t>
  </si>
  <si>
    <t>Oxygen Analysis Log</t>
  </si>
  <si>
    <t>Volume Filtered</t>
  </si>
  <si>
    <t>Chlorophyll Vial</t>
  </si>
  <si>
    <t>Sample Bottle #</t>
  </si>
  <si>
    <t>Chlorophyll Filtration Log</t>
  </si>
  <si>
    <t>Acetone Volume</t>
  </si>
  <si>
    <t>Cast</t>
  </si>
  <si>
    <t>Cruise</t>
  </si>
  <si>
    <t>Station</t>
  </si>
  <si>
    <t>Target Asset</t>
  </si>
  <si>
    <t>Cast Flag</t>
  </si>
  <si>
    <t>Niskin Flag</t>
  </si>
  <si>
    <t>RS03AXPD</t>
  </si>
  <si>
    <t>Notes/Other</t>
  </si>
  <si>
    <t>Delayed start to data collection</t>
  </si>
  <si>
    <t>Acceptable; normal cast according to SOP</t>
  </si>
  <si>
    <t>Non-standard winch speed</t>
  </si>
  <si>
    <t>Non-standard surface soak time</t>
  </si>
  <si>
    <t>Non-standard bottle soak time before Niskin trip</t>
  </si>
  <si>
    <t>Sensor issues but cast completed and data collected</t>
  </si>
  <si>
    <t>Cable issues but cast completed and data collected</t>
  </si>
  <si>
    <t>Winch issues but cast completed and data collected</t>
  </si>
  <si>
    <t>Premature cast end with data and/or data loss</t>
  </si>
  <si>
    <t>Significant ship heave</t>
  </si>
  <si>
    <t>Station position not adequately maintained during cast</t>
  </si>
  <si>
    <t>Tow-yo, Yo-yo cast</t>
  </si>
  <si>
    <t>ROV bottle sample</t>
  </si>
  <si>
    <t>Unassigned</t>
  </si>
  <si>
    <t>Data cast only, no Niskins triggered</t>
  </si>
  <si>
    <t>Acceptable; file processed according to SOP</t>
  </si>
  <si>
    <t>File processed using modified parameters</t>
  </si>
  <si>
    <t>File processed using alternate XMLCON</t>
  </si>
  <si>
    <t>Missing scans as indicated by modulo error counts</t>
  </si>
  <si>
    <t>Missing metadata</t>
  </si>
  <si>
    <t>Not calibrated</t>
  </si>
  <si>
    <t>Acceptable measurement</t>
  </si>
  <si>
    <t>Questionable measurement</t>
  </si>
  <si>
    <t>Bad measurement</t>
  </si>
  <si>
    <t>Not reported</t>
  </si>
  <si>
    <t>Calibration coefficients &gt; 1 year old</t>
  </si>
  <si>
    <t>Corresponding discrete sample</t>
  </si>
  <si>
    <t>Bottle information unavailable</t>
  </si>
  <si>
    <t>No problems noted</t>
  </si>
  <si>
    <t>Leaking</t>
  </si>
  <si>
    <t>Ran out of water during sampling</t>
  </si>
  <si>
    <t>Vent open</t>
  </si>
  <si>
    <t>Misfire at wrong depth</t>
  </si>
  <si>
    <t>Unknown problem</t>
  </si>
  <si>
    <t>Sample not drawn for this measurement from this bottle</t>
  </si>
  <si>
    <t>Acceptable; sample processed according to SOP</t>
  </si>
  <si>
    <t>Sample collected out of order</t>
  </si>
  <si>
    <t>Sample processed using alternative method; see notes</t>
  </si>
  <si>
    <t>Duplicate analysis on same sample</t>
  </si>
  <si>
    <t>Single sample</t>
  </si>
  <si>
    <t>Duplicate analysis from same Niskin</t>
  </si>
  <si>
    <t>Triplicate analysis from same Niskin</t>
  </si>
  <si>
    <t>Niskins</t>
  </si>
  <si>
    <t>O2_BottleNumber</t>
  </si>
  <si>
    <t>O2_BottleVolume</t>
  </si>
  <si>
    <t>Bottom Depth at Start Position [m]</t>
  </si>
  <si>
    <t>CTD File</t>
  </si>
  <si>
    <t>CTD File Flag</t>
  </si>
  <si>
    <t>Niskin/Bottle Position</t>
  </si>
  <si>
    <t>Axial Base Shallow Profiler</t>
  </si>
  <si>
    <t>Axial Base Deep Profiler</t>
  </si>
  <si>
    <t>Axial Base Junction Box LJ03A</t>
  </si>
  <si>
    <t>Oregon Offshore Deep Profiler</t>
  </si>
  <si>
    <t>Oregon Offshore Shallow Profiler</t>
  </si>
  <si>
    <t>Slope Base Shallow Profiler</t>
  </si>
  <si>
    <t>Slope Base Deep Profiler</t>
  </si>
  <si>
    <t>Southern Hydrate Ridge</t>
  </si>
  <si>
    <t>CE02SHBP</t>
  </si>
  <si>
    <t>CE04OSBP</t>
  </si>
  <si>
    <t>CE04OSPD</t>
  </si>
  <si>
    <t>CE04OSPS</t>
  </si>
  <si>
    <t>RS01SBPD</t>
  </si>
  <si>
    <t>RS01SBPS</t>
  </si>
  <si>
    <t>RS01SLBS</t>
  </si>
  <si>
    <t>RS01SUM2</t>
  </si>
  <si>
    <t>RS03AXBS</t>
  </si>
  <si>
    <t>RS03AXPS</t>
  </si>
  <si>
    <t>Target Depth</t>
  </si>
  <si>
    <t>Pipette Volumes</t>
  </si>
  <si>
    <t>Normalities</t>
  </si>
  <si>
    <t>bitPosition</t>
  </si>
  <si>
    <t>castFlags</t>
  </si>
  <si>
    <t>CTDFileFlags</t>
  </si>
  <si>
    <t>CTDParameterFlags</t>
  </si>
  <si>
    <t>niskinFlags</t>
  </si>
  <si>
    <t>discreteSampleFlags</t>
  </si>
  <si>
    <t>discreteReplicateFlags</t>
  </si>
  <si>
    <t>Sample for this measurement was drawn from water bottle but analysis not received</t>
  </si>
  <si>
    <t>Forward</t>
  </si>
  <si>
    <t>Aft</t>
  </si>
  <si>
    <t>Port</t>
  </si>
  <si>
    <t>Starboard</t>
  </si>
  <si>
    <t>Discrete Oxygen Flag</t>
  </si>
  <si>
    <t>Discrete Oxygen Replicate Flag</t>
  </si>
  <si>
    <t>Discrete Fluorescence Flag</t>
  </si>
  <si>
    <t>Discrete Fluorescence Replicate Flag</t>
  </si>
  <si>
    <t>Discrete Nutrients Flag</t>
  </si>
  <si>
    <t>Discrete Nutrients Replicate Flag</t>
  </si>
  <si>
    <t>Discrete Salinity Flag</t>
  </si>
  <si>
    <t>Discrete Salinity Replicate Flag</t>
  </si>
  <si>
    <t>Discrete DIC Flag</t>
  </si>
  <si>
    <t>Discrete DIC Replicate Flag</t>
  </si>
  <si>
    <t>Oxygen Bottle Number</t>
  </si>
  <si>
    <t>Chlorophyll Bottle Number</t>
  </si>
  <si>
    <t>Salinity Bottle Number</t>
  </si>
  <si>
    <t>Nutrient Bottle Number</t>
  </si>
  <si>
    <t>DIC Bottle Number</t>
  </si>
  <si>
    <t>Bottle Volume</t>
  </si>
  <si>
    <t>Buret Reading Volume</t>
  </si>
  <si>
    <t>Standard Run</t>
  </si>
  <si>
    <t xml:space="preserve">Standard Run </t>
  </si>
  <si>
    <t>STD #1</t>
  </si>
  <si>
    <t>STD #2</t>
  </si>
  <si>
    <t>STD #3</t>
  </si>
  <si>
    <t>STD #4</t>
  </si>
  <si>
    <t>Blank #1 A</t>
  </si>
  <si>
    <t>Blank #1 B</t>
  </si>
  <si>
    <t>Blank #2 A</t>
  </si>
  <si>
    <t>Blank #2 B</t>
  </si>
  <si>
    <t>Standard</t>
  </si>
  <si>
    <t>Correction Factor</t>
  </si>
  <si>
    <t>Average Standard</t>
  </si>
  <si>
    <t>Aft Port</t>
  </si>
  <si>
    <t>Aft Starboard</t>
  </si>
  <si>
    <t>Forward Port</t>
  </si>
  <si>
    <t>Forward Starboard</t>
  </si>
  <si>
    <t>THSPHA301</t>
  </si>
  <si>
    <t>PI_REQUEST</t>
  </si>
  <si>
    <t>CTD Pressure Flag</t>
  </si>
  <si>
    <t>CTD Temperature 1 Flag</t>
  </si>
  <si>
    <t>CTD Temperature 2 Flag</t>
  </si>
  <si>
    <t>CTD Conductivity 1 Flag</t>
  </si>
  <si>
    <t>CTD Conductivity 2 Flag</t>
  </si>
  <si>
    <t>CTD Oxygen Flag</t>
  </si>
  <si>
    <t>CTD Fluorescence Flag</t>
  </si>
  <si>
    <t>CTD Transmissometer Flag</t>
  </si>
  <si>
    <t>CTD pH Flag</t>
  </si>
  <si>
    <t>Parameter</t>
  </si>
  <si>
    <t>Parameter Flag</t>
  </si>
  <si>
    <t>CE02SHSM</t>
  </si>
  <si>
    <t>Oxygen Concentration (mL/L)</t>
  </si>
  <si>
    <t>Majors</t>
  </si>
  <si>
    <t>Source</t>
  </si>
  <si>
    <t>Depth</t>
  </si>
  <si>
    <t>eventNotes</t>
  </si>
  <si>
    <t>Niskin</t>
  </si>
  <si>
    <t>CTD Bottle Closure Time [UTC]</t>
  </si>
  <si>
    <t>Dive</t>
  </si>
  <si>
    <t>Start Latitude [degrees]</t>
  </si>
  <si>
    <t>Start Longitude [degrees]</t>
  </si>
  <si>
    <t>Start Time [UTC]</t>
  </si>
  <si>
    <t>Discrete Alkalinity Flag</t>
  </si>
  <si>
    <t>Discrete Alkalinity Replicate Flag</t>
  </si>
  <si>
    <t>Discrete pCO2 Flag</t>
  </si>
  <si>
    <t>Discrete pCO2 Replicate Flag</t>
  </si>
  <si>
    <t>Discrete pH Flag</t>
  </si>
  <si>
    <t>Discrete pH Replicate Flag</t>
  </si>
  <si>
    <t>Alkalinity Bottle Number</t>
  </si>
  <si>
    <t>pCO2 Bottle Number</t>
  </si>
  <si>
    <t>pH Bottle Number</t>
  </si>
  <si>
    <t>Axial Seamount International District 1</t>
  </si>
  <si>
    <t>Oregon Offshore Shallow Profiler - 500 m W</t>
  </si>
  <si>
    <t>Axial Base Shallow Profiler - 1000 m E</t>
  </si>
  <si>
    <t>Axial Base Shallow Profiler - 500 m E</t>
  </si>
  <si>
    <t>Axial Base Deep Profiler - 500 m SW</t>
  </si>
  <si>
    <t>Axial Base Shallow Profiler - 250 m E</t>
  </si>
  <si>
    <t>Axial Base Shallow Profiler - 250 m NW</t>
  </si>
  <si>
    <t>Axial Base Deep Profiler - 500 m N</t>
  </si>
  <si>
    <t>Axial Base Shallow Profiler - 250 m W</t>
  </si>
  <si>
    <t>Axial Base Shallow Profiler - 900 m SSW</t>
  </si>
  <si>
    <t>Axial Base Shallow Profiler - 200 m W</t>
  </si>
  <si>
    <t>Axial Base Shallow Profiler - 150 m W</t>
  </si>
  <si>
    <t>Oregon Offshore Shallow Profiler - 250 m W</t>
  </si>
  <si>
    <t>Oregon Offshore Shallow Profiler - 250 m E</t>
  </si>
  <si>
    <t>Oregon Offshore Deep Profiler - 250 m SW</t>
  </si>
  <si>
    <t>Oregon Offshore Deep Profiler - 500 m SW</t>
  </si>
  <si>
    <t>Oregon Offshore Shallow Profiler - 500 m E</t>
  </si>
  <si>
    <t>Oregon Offshore Shallow Profiler - 250 m NE</t>
  </si>
  <si>
    <t>Oregon Offshore Deep Profiler - 250 m E</t>
  </si>
  <si>
    <t>Oregon Offshore Deep Profiler - 200 m E</t>
  </si>
  <si>
    <t>Oregon Offshore Shallow Profiler - 600 m E</t>
  </si>
  <si>
    <t>Slope Base Shallow Profiler - 250 m W</t>
  </si>
  <si>
    <t>Slope Base Shallow Profiler - 1300 m NE</t>
  </si>
  <si>
    <t>Slope Base Shallow Profiler - 500 m W</t>
  </si>
  <si>
    <t>Slope Base Shallow Profiler - 100 m W</t>
  </si>
  <si>
    <t>Slope Base Deep Profiler - 750 m E</t>
  </si>
  <si>
    <t>Slope Base Junction Box LJ01A - 500 m S</t>
  </si>
  <si>
    <t>Slope Base Junction Box LJ01A - 250 m SW</t>
  </si>
  <si>
    <t>Slope Base Shallow Profiler - 250 m E</t>
  </si>
  <si>
    <t>Slope Base Junction Box LV01A - 100 m SE</t>
  </si>
  <si>
    <t>Slope Base Shallow Profiler - 200 m W</t>
  </si>
  <si>
    <t>Slope Base Deep Profiler - 500 m E</t>
  </si>
  <si>
    <t>Southern Hydrate Ridge - 90 m E of plume</t>
  </si>
  <si>
    <t>Axial Base Deep Profiler - 1000 m E</t>
  </si>
  <si>
    <t>Axial Base Shallow Profiler - 550 m E</t>
  </si>
  <si>
    <t>Oregon Offshore BEP</t>
  </si>
  <si>
    <t>Oregon Shelf BEP</t>
  </si>
  <si>
    <t>Oregon Shelf BEP - 20 m NW</t>
  </si>
  <si>
    <t>Oregon Shelf BEP - 70 m NE</t>
  </si>
  <si>
    <t>Southern Hydrate Ridge - 100 m N of Einstein's Grotto</t>
  </si>
  <si>
    <t>Blue Tabs:</t>
  </si>
  <si>
    <t>Flags, NiskinBottles, Stations, Target Assets</t>
  </si>
  <si>
    <t>Green Tabs:</t>
  </si>
  <si>
    <t>Locked to protect against inadvertant typos; to add to lists use the password "addnotchange"</t>
  </si>
  <si>
    <t>CastList, SampleList, CastLogROV, OxygenLog_all, ChloroLog_all</t>
  </si>
  <si>
    <t>Green is hand-typed, blue is filled in from predefined lists in the sheet:</t>
  </si>
  <si>
    <t>CastList: Verify against CTD Cast Logs</t>
  </si>
  <si>
    <t>SampleList: Verify against CTD Cast Logs</t>
  </si>
  <si>
    <t>OxygenLog_all: Verify against Oxygen titration log</t>
  </si>
  <si>
    <t>ChloroLog_all: Verify against Chlorophyll filtration log</t>
  </si>
  <si>
    <t>CastLog_ROV: Verify against ROV data logs listed in “source” and notes</t>
  </si>
  <si>
    <t>++OxygenParameters++: Verify against Oxygen bottle volumes, Oxygen titration log</t>
  </si>
  <si>
    <t>_Flags_: Check for typos, consistency</t>
  </si>
  <si>
    <t>_NiskinBottles_: Check for typos, consistency</t>
  </si>
  <si>
    <t>_Stations_: Check for typos, consistency</t>
  </si>
  <si>
    <t>_TargetAssets_: Check for typos, consistency</t>
  </si>
  <si>
    <t>Slope Base Junction Box LJ01A</t>
  </si>
  <si>
    <t>CTDPFB101</t>
  </si>
  <si>
    <t>DOSTAD101</t>
  </si>
  <si>
    <t>Axial Base Shallow Profiler - 500 m NW</t>
  </si>
  <si>
    <t>CTDPFB301</t>
  </si>
  <si>
    <t>DOSTAD301</t>
  </si>
  <si>
    <t>Axial Base Shallow Profiler - 500 m SW</t>
  </si>
  <si>
    <t>Date/Time (local)</t>
  </si>
  <si>
    <t>Slope Base Shallow Profiler - 500 m SW</t>
  </si>
  <si>
    <t>Axial Central Caldera</t>
  </si>
  <si>
    <t>Axial Eastern Caldera</t>
  </si>
  <si>
    <t>CTDPFB304</t>
  </si>
  <si>
    <t>CTDPFB305</t>
  </si>
  <si>
    <t>CTDPFB306</t>
  </si>
  <si>
    <t>Acceptable measurement,Calibration coefficients &gt; 1 year old</t>
  </si>
  <si>
    <t>CTDPFA110</t>
  </si>
  <si>
    <t>Axial Seamount International District 2</t>
  </si>
  <si>
    <t>CTDPFB307</t>
  </si>
  <si>
    <t>*** MUST be sorted by O2_BottleNumber, or the Lookup functionality will not work properly ***</t>
  </si>
  <si>
    <t>AT50-41</t>
  </si>
  <si>
    <t>Axial ASHES Vent Field</t>
  </si>
  <si>
    <t>THSPHA302</t>
  </si>
  <si>
    <t>CTD-001</t>
  </si>
  <si>
    <t>CTD-002</t>
  </si>
  <si>
    <t>CTD-003</t>
  </si>
  <si>
    <t>J2-1696</t>
  </si>
  <si>
    <t>J2-1698</t>
  </si>
  <si>
    <t>J2-1699</t>
  </si>
  <si>
    <t>Acceptable; normal cast according to SOP,Notes/Other</t>
  </si>
  <si>
    <t>J2-1702</t>
  </si>
  <si>
    <t>J2-1704</t>
  </si>
  <si>
    <t>CTD-004</t>
  </si>
  <si>
    <t>J2-1706</t>
  </si>
  <si>
    <t>CTD-005</t>
  </si>
  <si>
    <t>J2-1708</t>
  </si>
  <si>
    <t>J2-1713</t>
  </si>
  <si>
    <t>J2-1714</t>
  </si>
  <si>
    <t>J2-1719</t>
  </si>
  <si>
    <t>J2-1723</t>
  </si>
  <si>
    <t>CTDPFB301,DOSTAD301</t>
  </si>
  <si>
    <t>DIC-101</t>
  </si>
  <si>
    <t>NUT-2624</t>
  </si>
  <si>
    <t>OXY-025</t>
  </si>
  <si>
    <t>OXY-026</t>
  </si>
  <si>
    <t>DIC-102</t>
  </si>
  <si>
    <t>NUT-2623</t>
  </si>
  <si>
    <t>SA-313</t>
  </si>
  <si>
    <t>DIC-103</t>
  </si>
  <si>
    <t>NUT-2617</t>
  </si>
  <si>
    <t>CHL-005</t>
  </si>
  <si>
    <t>OXY-027</t>
  </si>
  <si>
    <t>OXY-028</t>
  </si>
  <si>
    <t>DIC-104</t>
  </si>
  <si>
    <t>NUT-2618</t>
  </si>
  <si>
    <t>CHL-016</t>
  </si>
  <si>
    <t>DIC-105</t>
  </si>
  <si>
    <t>NUT-2619</t>
  </si>
  <si>
    <t>OXY-029</t>
  </si>
  <si>
    <t>OXY-030</t>
  </si>
  <si>
    <t>DIC-106</t>
  </si>
  <si>
    <t>NUT-2620</t>
  </si>
  <si>
    <t>SA-314</t>
  </si>
  <si>
    <t>CHL-025</t>
  </si>
  <si>
    <t>DIC-107</t>
  </si>
  <si>
    <t>NUT-2621</t>
  </si>
  <si>
    <t>OXY-031</t>
  </si>
  <si>
    <t>OXY-032</t>
  </si>
  <si>
    <t>DIC-108</t>
  </si>
  <si>
    <t>NUT-2622</t>
  </si>
  <si>
    <t>SA-315</t>
  </si>
  <si>
    <t>OXY-033</t>
  </si>
  <si>
    <t>OXY-034</t>
  </si>
  <si>
    <t>CHL-018</t>
  </si>
  <si>
    <t>DIC-109</t>
  </si>
  <si>
    <t>NUT-2561</t>
  </si>
  <si>
    <t>OXY-035</t>
  </si>
  <si>
    <t>OXY-036</t>
  </si>
  <si>
    <t>CHL-031</t>
  </si>
  <si>
    <t>DIC-110</t>
  </si>
  <si>
    <t>NUT-2562</t>
  </si>
  <si>
    <t>SA-316</t>
  </si>
  <si>
    <t>CHL-012</t>
  </si>
  <si>
    <t>OXY-037</t>
  </si>
  <si>
    <t>OXY-038</t>
  </si>
  <si>
    <t>DIC-111</t>
  </si>
  <si>
    <t>NUT-2563</t>
  </si>
  <si>
    <t>CHL-032</t>
  </si>
  <si>
    <t>OXY-039</t>
  </si>
  <si>
    <t>OXY-040</t>
  </si>
  <si>
    <t>DIC-112</t>
  </si>
  <si>
    <t>NUT-2564</t>
  </si>
  <si>
    <t>SA-317</t>
  </si>
  <si>
    <t>CHL-033</t>
  </si>
  <si>
    <t>OXY-041</t>
  </si>
  <si>
    <t>OXY-042</t>
  </si>
  <si>
    <t>DIC-113</t>
  </si>
  <si>
    <t>NUT-2565</t>
  </si>
  <si>
    <t>SA-318</t>
  </si>
  <si>
    <t>CHL-011</t>
  </si>
  <si>
    <t>OXY-043</t>
  </si>
  <si>
    <t>OXY-044</t>
  </si>
  <si>
    <t>DIC-114</t>
  </si>
  <si>
    <t>NUT-2616</t>
  </si>
  <si>
    <t>SA-319</t>
  </si>
  <si>
    <t>CHL-038</t>
  </si>
  <si>
    <t>OXY-001</t>
  </si>
  <si>
    <t>OXY-002</t>
  </si>
  <si>
    <t>DIC-115</t>
  </si>
  <si>
    <t>NUT-2566</t>
  </si>
  <si>
    <t>DIC-116</t>
  </si>
  <si>
    <t>NUT-2567</t>
  </si>
  <si>
    <t>SA-320</t>
  </si>
  <si>
    <t>DIC-117</t>
  </si>
  <si>
    <t>NUT-2568</t>
  </si>
  <si>
    <t>OXY-003</t>
  </si>
  <si>
    <t>OXY-004</t>
  </si>
  <si>
    <t>DIC-118</t>
  </si>
  <si>
    <t>NUT-2569</t>
  </si>
  <si>
    <t>CHL-027</t>
  </si>
  <si>
    <t>CHL-019</t>
  </si>
  <si>
    <t>DIC-119</t>
  </si>
  <si>
    <t>NUT-2570</t>
  </si>
  <si>
    <t>OXY-005</t>
  </si>
  <si>
    <t>OXY-006</t>
  </si>
  <si>
    <t>DIC-120</t>
  </si>
  <si>
    <t>NUT-2571</t>
  </si>
  <si>
    <t>SA-321</t>
  </si>
  <si>
    <t>CHL-021</t>
  </si>
  <si>
    <t>DIC-121</t>
  </si>
  <si>
    <t>NUT-2572</t>
  </si>
  <si>
    <t>OXY-007</t>
  </si>
  <si>
    <t>OXY-008</t>
  </si>
  <si>
    <t>DIC-122</t>
  </si>
  <si>
    <t>NUT-2573</t>
  </si>
  <si>
    <t>SA-322</t>
  </si>
  <si>
    <t>OXY-009</t>
  </si>
  <si>
    <t>OXY-010</t>
  </si>
  <si>
    <t>CHL-037</t>
  </si>
  <si>
    <t>DIC-123</t>
  </si>
  <si>
    <t>NUT-2574</t>
  </si>
  <si>
    <t>OXY-011</t>
  </si>
  <si>
    <t>OXY-012</t>
  </si>
  <si>
    <t>CHL-039</t>
  </si>
  <si>
    <t>DIC-124</t>
  </si>
  <si>
    <t>NUT-2575</t>
  </si>
  <si>
    <t>SA-323</t>
  </si>
  <si>
    <t>CHL-008</t>
  </si>
  <si>
    <t>OXY-013</t>
  </si>
  <si>
    <t>OXY-014</t>
  </si>
  <si>
    <t>DIC-149</t>
  </si>
  <si>
    <t>NUT-2576</t>
  </si>
  <si>
    <t>CHL-003</t>
  </si>
  <si>
    <t>OXY-016</t>
  </si>
  <si>
    <t>OXY-017</t>
  </si>
  <si>
    <t>DIC-150</t>
  </si>
  <si>
    <t>NUT-2577</t>
  </si>
  <si>
    <t>SA-324</t>
  </si>
  <si>
    <t>CHL-002</t>
  </si>
  <si>
    <t>OXY-019</t>
  </si>
  <si>
    <t>SA-330</t>
  </si>
  <si>
    <t>NUT-2582</t>
  </si>
  <si>
    <t>DIC-151</t>
  </si>
  <si>
    <t>OXY-018</t>
  </si>
  <si>
    <t>CHL-007</t>
  </si>
  <si>
    <t>DIC-153</t>
  </si>
  <si>
    <t>NUT-2584</t>
  </si>
  <si>
    <t>SA-329</t>
  </si>
  <si>
    <t>DIC-152</t>
  </si>
  <si>
    <t>NUT-2581</t>
  </si>
  <si>
    <t>SA-328</t>
  </si>
  <si>
    <t>SA-327</t>
  </si>
  <si>
    <t>SA-326</t>
  </si>
  <si>
    <t>SA-325</t>
  </si>
  <si>
    <t>SA-332</t>
  </si>
  <si>
    <t>OXY-020</t>
  </si>
  <si>
    <t>OXY-021</t>
  </si>
  <si>
    <t>SA-333</t>
  </si>
  <si>
    <t>OXY-023</t>
  </si>
  <si>
    <t>OXY-024</t>
  </si>
  <si>
    <t>SA-336</t>
  </si>
  <si>
    <t>CHL-015</t>
  </si>
  <si>
    <t>SA-414</t>
  </si>
  <si>
    <t>DIC-154</t>
  </si>
  <si>
    <t>NUT-2583</t>
  </si>
  <si>
    <t>SA-413</t>
  </si>
  <si>
    <t>CTD-007</t>
  </si>
  <si>
    <t>CTD-006 aborted because R/V Atlantis was directly over shallow profiler, not 500m downcurrent</t>
  </si>
  <si>
    <t>water collected for grad student Lacie Levy only</t>
  </si>
  <si>
    <t>water collected for HPIES only</t>
  </si>
  <si>
    <t>broken August 2025 AT50-41 Leg 1</t>
  </si>
  <si>
    <t>OXY-015</t>
  </si>
  <si>
    <t>OXY-022</t>
  </si>
  <si>
    <t>OXY-045</t>
  </si>
  <si>
    <t>OXY-046</t>
  </si>
  <si>
    <t>OXY-047</t>
  </si>
  <si>
    <t>OXY-048</t>
  </si>
  <si>
    <t>floating particles (purple)</t>
  </si>
  <si>
    <t>floating particles</t>
  </si>
  <si>
    <t>possible double acid</t>
  </si>
  <si>
    <t>SA-410</t>
  </si>
  <si>
    <t>DIC-155</t>
  </si>
  <si>
    <t>SA-409</t>
  </si>
  <si>
    <t>DIC-156</t>
  </si>
  <si>
    <t>DIC-157</t>
  </si>
  <si>
    <t>DIC-158</t>
  </si>
  <si>
    <t>DIC-159</t>
  </si>
  <si>
    <t>DIC-160</t>
  </si>
  <si>
    <t>DIC-161</t>
  </si>
  <si>
    <t>DIC-162</t>
  </si>
  <si>
    <t>DIC-163</t>
  </si>
  <si>
    <t>DIC-164</t>
  </si>
  <si>
    <t>DIC-165</t>
  </si>
  <si>
    <t>DIC-166</t>
  </si>
  <si>
    <t>DIC-167</t>
  </si>
  <si>
    <t>NUT-2579</t>
  </si>
  <si>
    <t>NUT-2580</t>
  </si>
  <si>
    <t>NUT-2585</t>
  </si>
  <si>
    <t>NUT-2578</t>
  </si>
  <si>
    <t>NUT-2587</t>
  </si>
  <si>
    <t>NUT-2586</t>
  </si>
  <si>
    <t>NUT-2588</t>
  </si>
  <si>
    <t>NUT-2589</t>
  </si>
  <si>
    <t>NUT-2596</t>
  </si>
  <si>
    <t>NUT-2595</t>
  </si>
  <si>
    <t>NUT-2590</t>
  </si>
  <si>
    <t>NUT-2594</t>
  </si>
  <si>
    <t>SA-415</t>
  </si>
  <si>
    <t>SA-416</t>
  </si>
  <si>
    <t>SA-417</t>
  </si>
  <si>
    <t>SA-418</t>
  </si>
  <si>
    <t>SA-419</t>
  </si>
  <si>
    <t>CHL-022</t>
  </si>
  <si>
    <t>CTD-008</t>
  </si>
  <si>
    <t>DIC-168</t>
  </si>
  <si>
    <t>NUT-2613</t>
  </si>
  <si>
    <t>DIC-169</t>
  </si>
  <si>
    <t>NUT-2593</t>
  </si>
  <si>
    <t>SA-422</t>
  </si>
  <si>
    <t>DIC-170</t>
  </si>
  <si>
    <t>NUT-2597</t>
  </si>
  <si>
    <t>DIC-171</t>
  </si>
  <si>
    <t>NUT-2592</t>
  </si>
  <si>
    <t>DIC-172</t>
  </si>
  <si>
    <t>NUT-2591</t>
  </si>
  <si>
    <t>DIC-128</t>
  </si>
  <si>
    <t>NUT-2599</t>
  </si>
  <si>
    <t>SA-423</t>
  </si>
  <si>
    <t>DIC-127</t>
  </si>
  <si>
    <t>NUT-2598</t>
  </si>
  <si>
    <t>DIC-125</t>
  </si>
  <si>
    <t>NUT-2600</t>
  </si>
  <si>
    <t>SA-424</t>
  </si>
  <si>
    <t>DIC-129</t>
  </si>
  <si>
    <t>NUT-2601</t>
  </si>
  <si>
    <t>DIC-130</t>
  </si>
  <si>
    <t>NUT-2608</t>
  </si>
  <si>
    <t>SA-425</t>
  </si>
  <si>
    <t>DIC-131</t>
  </si>
  <si>
    <t>NUT-2607</t>
  </si>
  <si>
    <t>DIC-132</t>
  </si>
  <si>
    <t>NUT-2615</t>
  </si>
  <si>
    <t>SA-426</t>
  </si>
  <si>
    <t>J2-1735</t>
  </si>
  <si>
    <t>SA-420</t>
  </si>
  <si>
    <t>J2-1736</t>
  </si>
  <si>
    <t>SA-421</t>
  </si>
  <si>
    <t>CTD-009</t>
  </si>
  <si>
    <t>water collected for SeapHOx equilibration</t>
  </si>
  <si>
    <t>CTD-010</t>
  </si>
  <si>
    <t>DIC-133</t>
  </si>
  <si>
    <t>DIC-136</t>
  </si>
  <si>
    <t>DIC-134</t>
  </si>
  <si>
    <t>DIC-126</t>
  </si>
  <si>
    <t>DIC-135</t>
  </si>
  <si>
    <t>DIC-140</t>
  </si>
  <si>
    <t>DIC-139</t>
  </si>
  <si>
    <t>DIC-138</t>
  </si>
  <si>
    <t>DIC-137</t>
  </si>
  <si>
    <t>DIC-141</t>
  </si>
  <si>
    <t>DIC-142</t>
  </si>
  <si>
    <t>DIC-143</t>
  </si>
  <si>
    <t>NUT-2614</t>
  </si>
  <si>
    <t>NUT-2612</t>
  </si>
  <si>
    <t>NUT-2611</t>
  </si>
  <si>
    <t>NUT-2610</t>
  </si>
  <si>
    <t>NUT-2609</t>
  </si>
  <si>
    <t>NUT-2606</t>
  </si>
  <si>
    <t>NUT-2605</t>
  </si>
  <si>
    <t>NUT-2604</t>
  </si>
  <si>
    <t>NUT-2603</t>
  </si>
  <si>
    <t>NUT-2602</t>
  </si>
  <si>
    <t>NUT-6121</t>
  </si>
  <si>
    <t>NUT-6122</t>
  </si>
  <si>
    <t>SA-427</t>
  </si>
  <si>
    <t>SA-428</t>
  </si>
  <si>
    <t>SA-429</t>
  </si>
  <si>
    <t>SA-430</t>
  </si>
  <si>
    <t>SA-431</t>
  </si>
  <si>
    <t>CHL-017</t>
  </si>
  <si>
    <t>CHL-004</t>
  </si>
  <si>
    <t>J2-1741</t>
  </si>
  <si>
    <t>J2-1743</t>
  </si>
  <si>
    <t>DIC-144</t>
  </si>
  <si>
    <t>SA-433</t>
  </si>
  <si>
    <t>DIC-145</t>
  </si>
  <si>
    <t>SA-434</t>
  </si>
  <si>
    <t>filtered 10 days after collection</t>
  </si>
  <si>
    <t>May have gone over</t>
  </si>
  <si>
    <t>cap says RCA-045</t>
  </si>
  <si>
    <t>Samples pickled with miscalibrated/flooded pipette; Standards done with un-calibrated pipette</t>
  </si>
  <si>
    <t>2025-08-05T03:58:04.146Z</t>
  </si>
  <si>
    <t>"firing Niskins"</t>
  </si>
  <si>
    <t>AT50-41_J2-1696_sealogExport.csv, line 348</t>
  </si>
  <si>
    <t>2025-08-05T03:57:04.146Z</t>
  </si>
  <si>
    <t>2025-08-05T09:53:29.966Z</t>
  </si>
  <si>
    <t>2025-08-05T09:52:29.966Z</t>
  </si>
  <si>
    <t>AT50-41_J2-1698_sealogExport, line 552</t>
  </si>
  <si>
    <t>AT50-41_J2-1699_sealogExport.csv, line 678</t>
  </si>
  <si>
    <t>2025-08-05T18:47:22.149Z</t>
  </si>
  <si>
    <t>"firing forward Niskin"</t>
  </si>
  <si>
    <t>2025-08-05T18:46:22.149Z</t>
  </si>
  <si>
    <t>AT50-41_J2-1702_sealogExport.csv, line 744</t>
  </si>
  <si>
    <t>AT50-41_J2-1702_sealogExport.csv, line 746</t>
  </si>
  <si>
    <t>2025-08-07T05:56:21.076Z</t>
  </si>
  <si>
    <t>"Niskin Aft"</t>
  </si>
  <si>
    <t>2025-08-07T05:56:36.882Z</t>
  </si>
  <si>
    <t>"Niskin Forward"</t>
  </si>
  <si>
    <t>2025-08-07T05:55:21.076Z</t>
  </si>
  <si>
    <t>2025-08-07T05:55:36.882Z</t>
  </si>
  <si>
    <t>AT50-41_J2-1704_sealogExport.csv, line 813</t>
  </si>
  <si>
    <t>AT50-41_J2-1704_sealogExport.csv, line 819</t>
  </si>
  <si>
    <t>2025-08-07T12:25:32.544Z</t>
  </si>
  <si>
    <t>"Starboard aft Niskin"</t>
  </si>
  <si>
    <t>2025-08-07T12:26:37.891Z</t>
  </si>
  <si>
    <t>"Starboard forward Niskin"</t>
  </si>
  <si>
    <t>AT50-41_J2-1706_sealogExport.csv, line 1159</t>
  </si>
  <si>
    <t>AT50-41_J2-1706_sealogExport.csv, line 1164</t>
  </si>
  <si>
    <t>"Niskin", "Forward Niskin"</t>
  </si>
  <si>
    <t>"Niskin", "Aft Niskin"</t>
  </si>
  <si>
    <t>2025-08-08T06:11:06.324Z</t>
  </si>
  <si>
    <t>2025-08-08T06:11:44.065Z</t>
  </si>
  <si>
    <t>AT50-41_J2-1708_sealogExport.csv, line 542</t>
  </si>
  <si>
    <t>AT50-41_J2-1708_sealogExport.csv, line 601</t>
  </si>
  <si>
    <t>"Niskin", "rear niskin"</t>
  </si>
  <si>
    <t>2025-08-09T04:17:48.081Z</t>
  </si>
  <si>
    <t>2025-08-09T04:04:56.366Z</t>
  </si>
  <si>
    <t>AT50-41_J2-1713_sealogExport.csv, line 643</t>
  </si>
  <si>
    <t>AT50-41_J2-1713_sealogExport.csv, line 645</t>
  </si>
  <si>
    <t>2025-08-12T04:04:20.399Z</t>
  </si>
  <si>
    <t>2025-08-12T04:04:46.482Z</t>
  </si>
  <si>
    <t>AT50-41_J2-1714_sealogExport.csv, line 652</t>
  </si>
  <si>
    <t>AT50-41_J2-1714_sealogExport.csv, line 657</t>
  </si>
  <si>
    <t>"Aft niskin fired", "Niskin"</t>
  </si>
  <si>
    <t>"forward niskin fired","Niskin"</t>
  </si>
  <si>
    <t>2025-08-12T19:07:55.380Z</t>
  </si>
  <si>
    <t>2025-08-12T19:09:07.580Z</t>
  </si>
  <si>
    <t>AT50-41_J2-1723_sealogExport.csv, line 424</t>
  </si>
  <si>
    <t>AT50-41_J2-1723_sealogExport.csv, line 429</t>
  </si>
  <si>
    <t>2025-08-15T11:45:17.544Z</t>
  </si>
  <si>
    <t>2025-08-15T11:46:06.096Z</t>
  </si>
  <si>
    <t>AT50-41_J2-1735_sealogExport.csv, line 1362</t>
  </si>
  <si>
    <t>AT50-41_J2-1735_sealogExport.csv, line 1368</t>
  </si>
  <si>
    <t>"aft niskin fired"</t>
  </si>
  <si>
    <t>"forward niskin sampled"</t>
  </si>
  <si>
    <t>2025-08-24T00:53:51.554Z</t>
  </si>
  <si>
    <t>2025-08-24T00:55:06.919Z</t>
  </si>
  <si>
    <t>"niskins fired 05:12:02 see \grabbing bungees\" event "</t>
  </si>
  <si>
    <t>AT50-41_J2-1736_sealogExport.csv, line 234</t>
  </si>
  <si>
    <t>2025-08-24T05:20:33.784Z</t>
  </si>
  <si>
    <t>AT50-41_J2-1741_sealogExport.csv, line 472</t>
  </si>
  <si>
    <t>AT50-41_J2-1741_sealogExport.csv, line 475</t>
  </si>
  <si>
    <t>"done before forward niskin","Niskin", "Aft Niskin"</t>
  </si>
  <si>
    <t>2025-08-28T04:02:48.045Z</t>
  </si>
  <si>
    <t>2025-08-28T04:03:16.310Z</t>
  </si>
  <si>
    <t>AT50-41_J2-1743_sealogExport.csv, line 510</t>
  </si>
  <si>
    <t>AT50-41_J2-1743_sealogExport.csv, line 518</t>
  </si>
  <si>
    <t>2025-08-28T15:20:33.184Z</t>
  </si>
  <si>
    <t>2025-08-28T15:21:37.406Z</t>
  </si>
  <si>
    <t>2025-08-07T12:24:32.544Z</t>
  </si>
  <si>
    <t>2025-08-07T12:25:37.891Z</t>
  </si>
  <si>
    <t>2025-08-08T06:10:06.324Z</t>
  </si>
  <si>
    <t>2025-08-08T06:10:44.065Z</t>
  </si>
  <si>
    <t>2025-08-09T04:16:48.081Z</t>
  </si>
  <si>
    <t>2025-08-09T04:03:56.366Z</t>
  </si>
  <si>
    <t>2025-08-12T04:03:20.399Z</t>
  </si>
  <si>
    <t>2025-08-12T04:03:46.482Z</t>
  </si>
  <si>
    <t>2025-08-12T19:06:55.380Z</t>
  </si>
  <si>
    <t>2025-08-12T19:08:07.580Z</t>
  </si>
  <si>
    <t>2025-08-15T11:44:17.544Z</t>
  </si>
  <si>
    <t>2025-08-15T11:45:06.096Z</t>
  </si>
  <si>
    <t>2025-08-24T00:52:51.554Z</t>
  </si>
  <si>
    <t>2025-08-24T00:54:06.919Z</t>
  </si>
  <si>
    <t>2025-08-24T05:19:33.784Z</t>
  </si>
  <si>
    <t>2025-08-28T04:01:48.045Z</t>
  </si>
  <si>
    <t>2025-08-28T04:02:16.310Z</t>
  </si>
  <si>
    <t>2025-08-28T15:19:33.184Z</t>
  </si>
  <si>
    <t>2025-08-28T15:20:37.406Z</t>
  </si>
  <si>
    <t>AT50-41_CTD-001</t>
  </si>
  <si>
    <t>AT50-41_J2-1696</t>
  </si>
  <si>
    <t>AT50-41_J2-1698</t>
  </si>
  <si>
    <t>AT50-41_CTD-002</t>
  </si>
  <si>
    <t>AT50-41_J2-1699</t>
  </si>
  <si>
    <t>AT50-41_CTD-003</t>
  </si>
  <si>
    <t>AT50-41_J2-1702</t>
  </si>
  <si>
    <t>AT50-41_J2-1704</t>
  </si>
  <si>
    <t>AT50-41_CTD-004</t>
  </si>
  <si>
    <t>AT50-41_J2-1706</t>
  </si>
  <si>
    <t>AT50-41_CTD-005</t>
  </si>
  <si>
    <t>AT50-41_J2-1708</t>
  </si>
  <si>
    <t>AT50-41_J2-1713</t>
  </si>
  <si>
    <t>AT50-41_J2-1714</t>
  </si>
  <si>
    <t>AT50-41_J2-1719</t>
  </si>
  <si>
    <t>AT50-41_J2-1723</t>
  </si>
  <si>
    <t>AT50-41_CTD-007</t>
  </si>
  <si>
    <t>AT50-41_J2-1735</t>
  </si>
  <si>
    <t>AT50-41_J2-1736</t>
  </si>
  <si>
    <t>AT50-41_CTD-008</t>
  </si>
  <si>
    <t>AT50-41_CTD-009</t>
  </si>
  <si>
    <t>AT50-41_CTD-010</t>
  </si>
  <si>
    <t>AT50-41_J2-1741</t>
  </si>
  <si>
    <t>AT50-41_J2-1743</t>
  </si>
  <si>
    <t>2025-08-05T03:56:47.146Z</t>
  </si>
  <si>
    <t>2025-08-05T03:55:47.146Z</t>
  </si>
  <si>
    <t>"grabbing Niskin"</t>
  </si>
  <si>
    <t>AT50-41_J2-1696_sealogExport.csv, line 345</t>
  </si>
  <si>
    <t>"Step 14", "Niskin", "Forward Niskin"</t>
  </si>
  <si>
    <t>sample lost</t>
  </si>
  <si>
    <t>2025-08-05T18:46:21.319Z</t>
  </si>
  <si>
    <t>2025-08-05T18:45:21.319Z</t>
  </si>
  <si>
    <t>"firing aft Niskin bottle"</t>
  </si>
  <si>
    <t>AT50-41_J2-1699_sealogExport.csv, line 673</t>
  </si>
  <si>
    <t>DiscreteSampleFlag: Oxygen sample contained floating particles (purple)</t>
  </si>
  <si>
    <t>DiscreteSampleFlag: Oxygen sample may contained double acid</t>
  </si>
  <si>
    <t>DiscreteSampleFlag: Oxygen bottle cap mismatch, labeled as "RCA-045"</t>
  </si>
  <si>
    <t>DiscreteSampleFlag: Oxygen titration possibly overshot</t>
  </si>
  <si>
    <t>DiscreteSampleFlag: Oxygen samples pickled with miscalibrated/flooded pipette; Standards done with un-calibrated pipette</t>
  </si>
  <si>
    <t>DiscreteSampleFlag: Chlorophyll sample lost before filtration</t>
  </si>
  <si>
    <t>DiscreteSampleFlag: Chlorophyll sample filtered 10 days after collection</t>
  </si>
  <si>
    <t>Notes/Other,Questionable measurement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</si>
</sst>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0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0000"/>
      <name val="Arial"/>
      <family val="2"/>
    </font>
    <font>
      <sz val="8"/>
      <name val="Calibri"/>
      <family val="2"/>
      <scheme val="minor"/>
    </font>
    <font>
      <sz val="12"/>
      <color rgb="FF000000"/>
      <name val="Aptos Narrow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lightVertical">
        <fgColor theme="9" tint="0.79992065187536243"/>
        <bgColor theme="9" tint="0.79998168889431442"/>
      </patternFill>
    </fill>
    <fill>
      <patternFill patternType="lightVertical">
        <fgColor theme="9" tint="0.79992065187536243"/>
        <bgColor indexed="65"/>
      </patternFill>
    </fill>
    <fill>
      <patternFill patternType="lightVertical">
        <fgColor theme="9" tint="0.79998168889431442"/>
        <bgColor theme="9" tint="0.79998168889431442"/>
      </patternFill>
    </fill>
    <fill>
      <patternFill patternType="lightVertical">
        <fgColor theme="9" tint="0.79998168889431442"/>
        <bgColor indexed="65"/>
      </patternFill>
    </fill>
    <fill>
      <patternFill patternType="lightHorizontal">
        <fgColor theme="9" tint="0.79998168889431442"/>
        <bgColor theme="9" tint="0.79998168889431442"/>
      </patternFill>
    </fill>
    <fill>
      <patternFill patternType="lightHorizontal">
        <fgColor theme="9" tint="0.79998168889431442"/>
        <bgColor indexed="65"/>
      </patternFill>
    </fill>
    <fill>
      <patternFill patternType="lightVertical">
        <fgColor rgb="FFE2EFDA"/>
      </patternFill>
    </fill>
    <fill>
      <patternFill patternType="lightHorizontal">
        <fgColor rgb="FFE2EFDA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lightHorizontal">
        <fgColor theme="9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2" fillId="0" borderId="0" xfId="0" applyFont="1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4" fillId="0" borderId="0" xfId="0" applyFont="1"/>
    <xf numFmtId="0" fontId="0" fillId="0" borderId="1" xfId="0" applyBorder="1"/>
    <xf numFmtId="0" fontId="2" fillId="0" borderId="1" xfId="0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4" borderId="0" xfId="0" applyFill="1"/>
    <xf numFmtId="2" fontId="0" fillId="2" borderId="0" xfId="0" applyNumberFormat="1" applyFill="1"/>
    <xf numFmtId="0" fontId="5" fillId="0" borderId="0" xfId="0" applyFont="1"/>
    <xf numFmtId="0" fontId="2" fillId="0" borderId="0" xfId="0" applyFont="1" applyAlignment="1">
      <alignment horizontal="right" vertical="center"/>
    </xf>
    <xf numFmtId="0" fontId="0" fillId="5" borderId="0" xfId="0" applyFill="1"/>
    <xf numFmtId="0" fontId="0" fillId="3" borderId="2" xfId="0" applyFill="1" applyBorder="1"/>
    <xf numFmtId="0" fontId="0" fillId="3" borderId="2" xfId="0" applyFill="1" applyBorder="1" applyAlignment="1">
      <alignment horizontal="left"/>
    </xf>
    <xf numFmtId="0" fontId="0" fillId="0" borderId="2" xfId="0" applyBorder="1"/>
    <xf numFmtId="49" fontId="1" fillId="0" borderId="2" xfId="0" applyNumberFormat="1" applyFont="1" applyBorder="1" applyAlignment="1">
      <alignment horizontal="right"/>
    </xf>
    <xf numFmtId="49" fontId="1" fillId="0" borderId="2" xfId="0" applyNumberFormat="1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11" borderId="2" xfId="0" applyFill="1" applyBorder="1"/>
    <xf numFmtId="49" fontId="1" fillId="9" borderId="2" xfId="0" applyNumberFormat="1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49" fontId="1" fillId="12" borderId="2" xfId="0" applyNumberFormat="1" applyFont="1" applyFill="1" applyBorder="1" applyAlignment="1">
      <alignment horizontal="center"/>
    </xf>
    <xf numFmtId="22" fontId="0" fillId="0" borderId="2" xfId="0" applyNumberFormat="1" applyBorder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1" fillId="11" borderId="2" xfId="0" applyFont="1" applyFill="1" applyBorder="1" applyAlignment="1">
      <alignment horizontal="right"/>
    </xf>
    <xf numFmtId="164" fontId="0" fillId="0" borderId="1" xfId="0" applyNumberFormat="1" applyBorder="1"/>
    <xf numFmtId="164" fontId="0" fillId="0" borderId="0" xfId="0" applyNumberFormat="1"/>
    <xf numFmtId="164" fontId="0" fillId="0" borderId="2" xfId="0" applyNumberFormat="1" applyBorder="1"/>
    <xf numFmtId="164" fontId="0" fillId="11" borderId="2" xfId="0" applyNumberFormat="1" applyFill="1" applyBorder="1"/>
    <xf numFmtId="0" fontId="1" fillId="13" borderId="2" xfId="0" applyFont="1" applyFill="1" applyBorder="1"/>
    <xf numFmtId="0" fontId="8" fillId="0" borderId="0" xfId="0" applyFont="1"/>
    <xf numFmtId="0" fontId="7" fillId="0" borderId="2" xfId="0" applyFont="1" applyBorder="1"/>
    <xf numFmtId="0" fontId="0" fillId="2" borderId="2" xfId="0" applyFill="1" applyBorder="1"/>
    <xf numFmtId="22" fontId="0" fillId="11" borderId="2" xfId="0" applyNumberFormat="1" applyFill="1" applyBorder="1"/>
    <xf numFmtId="0" fontId="9" fillId="0" borderId="0" xfId="0" applyFont="1"/>
    <xf numFmtId="164" fontId="0" fillId="5" borderId="0" xfId="0" applyNumberFormat="1" applyFill="1"/>
    <xf numFmtId="0" fontId="0" fillId="13" borderId="2" xfId="0" applyFill="1" applyBorder="1"/>
    <xf numFmtId="49" fontId="1" fillId="13" borderId="2" xfId="0" applyNumberFormat="1" applyFont="1" applyFill="1" applyBorder="1" applyAlignment="1">
      <alignment horizontal="right"/>
    </xf>
    <xf numFmtId="0" fontId="1" fillId="13" borderId="2" xfId="0" applyFont="1" applyFill="1" applyBorder="1" applyAlignment="1">
      <alignment horizontal="right"/>
    </xf>
    <xf numFmtId="49" fontId="1" fillId="11" borderId="2" xfId="0" applyNumberFormat="1" applyFont="1" applyFill="1" applyBorder="1" applyAlignment="1">
      <alignment horizontal="right"/>
    </xf>
    <xf numFmtId="0" fontId="0" fillId="10" borderId="2" xfId="0" applyFill="1" applyBorder="1" applyAlignment="1">
      <alignment horizontal="right"/>
    </xf>
    <xf numFmtId="0" fontId="0" fillId="13" borderId="2" xfId="0" applyFill="1" applyBorder="1" applyAlignment="1">
      <alignment horizontal="right"/>
    </xf>
    <xf numFmtId="0" fontId="0" fillId="11" borderId="2" xfId="0" applyFill="1" applyBorder="1" applyAlignment="1">
      <alignment horizontal="right"/>
    </xf>
    <xf numFmtId="0" fontId="1" fillId="0" borderId="2" xfId="0" applyFont="1" applyBorder="1"/>
    <xf numFmtId="0" fontId="0" fillId="14" borderId="0" xfId="0" applyFill="1"/>
    <xf numFmtId="0" fontId="0" fillId="15" borderId="2" xfId="0" applyFill="1" applyBorder="1"/>
    <xf numFmtId="22" fontId="0" fillId="16" borderId="2" xfId="0" applyNumberFormat="1" applyFill="1" applyBorder="1"/>
    <xf numFmtId="0" fontId="0" fillId="16" borderId="2" xfId="0" applyFill="1" applyBorder="1"/>
    <xf numFmtId="0" fontId="0" fillId="15" borderId="0" xfId="0" applyFill="1"/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2" fillId="0" borderId="0" xfId="0" applyFont="1"/>
    <xf numFmtId="0" fontId="0" fillId="0" borderId="1" xfId="0" applyBorder="1"/>
    <xf numFmtId="0" fontId="2" fillId="0" borderId="2" xfId="0" applyFont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0" borderId="0" xfId="0"/>
    <xf numFmtId="0" fontId="3" fillId="0" borderId="0" xfId="0" applyFont="1" applyAlignment="1">
      <alignment horizontal="center" vertical="center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2" fillId="0" borderId="0" xfId="0" applyFont="1" applyAlignment="1">
      <alignment horizontal="right"/>
    </xf>
    <xf numFmtId="0" fontId="0" fillId="0" borderId="2" xfId="0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 wrapText="1"/>
    </xf>
    <xf numFmtId="164" fontId="0" fillId="2" borderId="2" xfId="0" applyNumberForma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2EFDA"/>
      <color rgb="FFFFFFFF"/>
      <color rgb="FF4848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5"/>
  </sheetPr>
  <dimension ref="A3:B20"/>
  <sheetViews>
    <sheetView workbookViewId="0">
      <selection activeCell="B4" sqref="B4"/>
    </sheetView>
  </sheetViews>
  <sheetFormatPr baseColWidth="10" defaultRowHeight="16" x14ac:dyDescent="0.2"/>
  <sheetData>
    <row r="3" spans="1:2" x14ac:dyDescent="0.2">
      <c r="A3" t="s">
        <v>212</v>
      </c>
      <c r="B3" t="s">
        <v>213</v>
      </c>
    </row>
    <row r="4" spans="1:2" x14ac:dyDescent="0.2">
      <c r="B4" t="s">
        <v>215</v>
      </c>
    </row>
    <row r="5" spans="1:2" x14ac:dyDescent="0.2">
      <c r="A5" t="s">
        <v>214</v>
      </c>
      <c r="B5" t="s">
        <v>216</v>
      </c>
    </row>
    <row r="9" spans="1:2" x14ac:dyDescent="0.2">
      <c r="A9" s="14" t="s">
        <v>217</v>
      </c>
    </row>
    <row r="11" spans="1:2" x14ac:dyDescent="0.2">
      <c r="A11" s="14" t="s">
        <v>218</v>
      </c>
    </row>
    <row r="12" spans="1:2" x14ac:dyDescent="0.2">
      <c r="A12" s="14" t="s">
        <v>219</v>
      </c>
    </row>
    <row r="13" spans="1:2" x14ac:dyDescent="0.2">
      <c r="A13" s="14" t="s">
        <v>220</v>
      </c>
    </row>
    <row r="14" spans="1:2" x14ac:dyDescent="0.2">
      <c r="A14" s="14" t="s">
        <v>221</v>
      </c>
    </row>
    <row r="15" spans="1:2" x14ac:dyDescent="0.2">
      <c r="A15" s="14" t="s">
        <v>222</v>
      </c>
    </row>
    <row r="16" spans="1:2" x14ac:dyDescent="0.2">
      <c r="A16" s="14" t="s">
        <v>223</v>
      </c>
    </row>
    <row r="17" spans="1:1" x14ac:dyDescent="0.2">
      <c r="A17" s="14" t="s">
        <v>224</v>
      </c>
    </row>
    <row r="18" spans="1:1" x14ac:dyDescent="0.2">
      <c r="A18" s="14" t="s">
        <v>225</v>
      </c>
    </row>
    <row r="19" spans="1:1" x14ac:dyDescent="0.2">
      <c r="A19" s="14" t="s">
        <v>226</v>
      </c>
    </row>
    <row r="20" spans="1:1" x14ac:dyDescent="0.2">
      <c r="A20" s="14" t="s">
        <v>227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I32"/>
  <sheetViews>
    <sheetView zoomScale="112" workbookViewId="0">
      <selection activeCell="C15" sqref="C15"/>
    </sheetView>
  </sheetViews>
  <sheetFormatPr baseColWidth="10" defaultColWidth="12.33203125" defaultRowHeight="16" x14ac:dyDescent="0.2"/>
  <cols>
    <col min="1" max="1" width="12.33203125" style="24"/>
    <col min="2" max="2" width="39.33203125" style="19" bestFit="1" customWidth="1"/>
    <col min="3" max="3" width="28.83203125" style="19" bestFit="1" customWidth="1"/>
    <col min="4" max="4" width="12.33203125" style="26"/>
    <col min="5" max="5" width="47" style="19" bestFit="1" customWidth="1"/>
    <col min="6" max="6" width="30.33203125" style="26" bestFit="1" customWidth="1"/>
    <col min="7" max="7" width="36" style="31" bestFit="1" customWidth="1"/>
    <col min="8" max="8" width="37.6640625" style="22" bestFit="1" customWidth="1"/>
    <col min="9" max="9" width="82" style="26" bestFit="1" customWidth="1"/>
    <col min="10" max="16384" width="12.33203125" style="19"/>
  </cols>
  <sheetData>
    <row r="1" spans="1:9" x14ac:dyDescent="0.2">
      <c r="A1" s="23" t="s">
        <v>15</v>
      </c>
      <c r="B1" s="17" t="s">
        <v>16</v>
      </c>
      <c r="C1" s="17" t="s">
        <v>17</v>
      </c>
      <c r="D1" s="25" t="s">
        <v>14</v>
      </c>
      <c r="E1" s="17" t="s">
        <v>18</v>
      </c>
      <c r="F1" s="25" t="s">
        <v>67</v>
      </c>
      <c r="G1" s="30" t="s">
        <v>68</v>
      </c>
      <c r="H1" s="18" t="s">
        <v>69</v>
      </c>
      <c r="I1" s="25" t="s">
        <v>0</v>
      </c>
    </row>
    <row r="2" spans="1:9" x14ac:dyDescent="0.2">
      <c r="A2" s="24" t="s">
        <v>247</v>
      </c>
      <c r="B2" s="19" t="s">
        <v>75</v>
      </c>
      <c r="C2" s="20" t="s">
        <v>82</v>
      </c>
      <c r="D2" s="26" t="s">
        <v>250</v>
      </c>
      <c r="E2" s="20" t="s">
        <v>23</v>
      </c>
      <c r="F2" s="26">
        <v>600</v>
      </c>
      <c r="G2" s="29" t="s">
        <v>625</v>
      </c>
      <c r="H2" s="21" t="s">
        <v>37</v>
      </c>
      <c r="I2" s="19"/>
    </row>
    <row r="3" spans="1:9" x14ac:dyDescent="0.2">
      <c r="A3" s="24" t="s">
        <v>247</v>
      </c>
      <c r="B3" s="19" t="s">
        <v>75</v>
      </c>
      <c r="C3" s="20" t="s">
        <v>82</v>
      </c>
      <c r="D3" s="26" t="s">
        <v>253</v>
      </c>
      <c r="E3" s="20" t="s">
        <v>34</v>
      </c>
      <c r="F3" s="26">
        <v>600</v>
      </c>
      <c r="G3" s="29" t="s">
        <v>626</v>
      </c>
      <c r="H3" s="21" t="s">
        <v>37</v>
      </c>
      <c r="I3" s="19"/>
    </row>
    <row r="4" spans="1:9" x14ac:dyDescent="0.2">
      <c r="A4" s="24" t="s">
        <v>247</v>
      </c>
      <c r="B4" s="19" t="s">
        <v>75</v>
      </c>
      <c r="C4" s="20" t="s">
        <v>82</v>
      </c>
      <c r="D4" s="26" t="s">
        <v>254</v>
      </c>
      <c r="E4" s="20" t="s">
        <v>34</v>
      </c>
      <c r="F4" s="26">
        <v>600</v>
      </c>
      <c r="G4" s="29" t="s">
        <v>627</v>
      </c>
      <c r="H4" s="21" t="s">
        <v>37</v>
      </c>
      <c r="I4" s="19"/>
    </row>
    <row r="5" spans="1:9" x14ac:dyDescent="0.2">
      <c r="A5" s="24" t="s">
        <v>247</v>
      </c>
      <c r="B5" s="19" t="s">
        <v>76</v>
      </c>
      <c r="C5" s="20" t="s">
        <v>84</v>
      </c>
      <c r="D5" s="26" t="s">
        <v>251</v>
      </c>
      <c r="E5" s="20" t="s">
        <v>23</v>
      </c>
      <c r="F5" s="26">
        <v>2907</v>
      </c>
      <c r="G5" s="29" t="s">
        <v>628</v>
      </c>
      <c r="H5" s="21" t="s">
        <v>37</v>
      </c>
    </row>
    <row r="6" spans="1:9" x14ac:dyDescent="0.2">
      <c r="A6" s="24" t="s">
        <v>247</v>
      </c>
      <c r="B6" s="19" t="s">
        <v>76</v>
      </c>
      <c r="C6" s="20" t="s">
        <v>84</v>
      </c>
      <c r="D6" s="26" t="s">
        <v>255</v>
      </c>
      <c r="E6" s="20" t="s">
        <v>34</v>
      </c>
      <c r="F6" s="26">
        <v>2907</v>
      </c>
      <c r="G6" s="29" t="s">
        <v>629</v>
      </c>
      <c r="H6" s="21" t="s">
        <v>37</v>
      </c>
    </row>
    <row r="7" spans="1:9" x14ac:dyDescent="0.2">
      <c r="A7" s="24" t="s">
        <v>247</v>
      </c>
      <c r="B7" s="19" t="s">
        <v>76</v>
      </c>
      <c r="C7" s="20" t="s">
        <v>84</v>
      </c>
      <c r="D7" s="26" t="s">
        <v>252</v>
      </c>
      <c r="E7" s="20" t="s">
        <v>256</v>
      </c>
      <c r="F7" s="26">
        <v>2905</v>
      </c>
      <c r="G7" s="29" t="s">
        <v>630</v>
      </c>
      <c r="H7" s="21" t="s">
        <v>37</v>
      </c>
      <c r="I7" s="26" t="s">
        <v>416</v>
      </c>
    </row>
    <row r="8" spans="1:9" x14ac:dyDescent="0.2">
      <c r="A8" s="24" t="s">
        <v>247</v>
      </c>
      <c r="B8" s="19" t="s">
        <v>71</v>
      </c>
      <c r="C8" s="20" t="s">
        <v>88</v>
      </c>
      <c r="D8" s="26" t="s">
        <v>257</v>
      </c>
      <c r="E8" s="20" t="s">
        <v>34</v>
      </c>
      <c r="F8" s="26">
        <v>2600</v>
      </c>
      <c r="G8" s="29" t="s">
        <v>631</v>
      </c>
      <c r="H8" s="21" t="s">
        <v>37</v>
      </c>
    </row>
    <row r="9" spans="1:9" x14ac:dyDescent="0.2">
      <c r="A9" s="24" t="s">
        <v>247</v>
      </c>
      <c r="B9" s="19" t="s">
        <v>71</v>
      </c>
      <c r="C9" s="20" t="s">
        <v>88</v>
      </c>
      <c r="D9" s="26" t="s">
        <v>258</v>
      </c>
      <c r="E9" s="20" t="s">
        <v>34</v>
      </c>
      <c r="F9" s="26">
        <v>2600</v>
      </c>
      <c r="G9" s="29" t="s">
        <v>632</v>
      </c>
      <c r="H9" s="21" t="s">
        <v>37</v>
      </c>
    </row>
    <row r="10" spans="1:9" x14ac:dyDescent="0.2">
      <c r="A10" s="24" t="s">
        <v>247</v>
      </c>
      <c r="B10" s="19" t="s">
        <v>72</v>
      </c>
      <c r="C10" s="20" t="s">
        <v>20</v>
      </c>
      <c r="D10" s="26" t="s">
        <v>259</v>
      </c>
      <c r="E10" s="20" t="s">
        <v>23</v>
      </c>
      <c r="F10" s="26">
        <v>2586</v>
      </c>
      <c r="G10" s="29" t="s">
        <v>633</v>
      </c>
      <c r="H10" s="21" t="s">
        <v>37</v>
      </c>
    </row>
    <row r="11" spans="1:9" x14ac:dyDescent="0.2">
      <c r="A11" s="24" t="s">
        <v>247</v>
      </c>
      <c r="B11" s="19" t="s">
        <v>73</v>
      </c>
      <c r="C11" s="20" t="s">
        <v>267</v>
      </c>
      <c r="D11" s="26" t="s">
        <v>260</v>
      </c>
      <c r="E11" s="20" t="s">
        <v>34</v>
      </c>
      <c r="F11" s="26">
        <v>2607</v>
      </c>
      <c r="G11" s="29" t="s">
        <v>634</v>
      </c>
      <c r="H11" s="21" t="s">
        <v>37</v>
      </c>
    </row>
    <row r="12" spans="1:9" x14ac:dyDescent="0.2">
      <c r="A12" s="24" t="s">
        <v>247</v>
      </c>
      <c r="B12" s="19" t="s">
        <v>248</v>
      </c>
      <c r="C12" s="20" t="s">
        <v>139</v>
      </c>
      <c r="D12" s="26" t="s">
        <v>261</v>
      </c>
      <c r="E12" s="20" t="s">
        <v>23</v>
      </c>
      <c r="F12" s="26">
        <v>1545</v>
      </c>
      <c r="G12" s="29" t="s">
        <v>635</v>
      </c>
      <c r="H12" s="21" t="s">
        <v>37</v>
      </c>
      <c r="I12" s="26" t="s">
        <v>415</v>
      </c>
    </row>
    <row r="13" spans="1:9" x14ac:dyDescent="0.2">
      <c r="A13" s="24" t="s">
        <v>247</v>
      </c>
      <c r="B13" s="19" t="s">
        <v>248</v>
      </c>
      <c r="C13" s="20" t="s">
        <v>239</v>
      </c>
      <c r="D13" s="26" t="s">
        <v>262</v>
      </c>
      <c r="E13" s="20" t="s">
        <v>34</v>
      </c>
      <c r="F13" s="26">
        <v>1537</v>
      </c>
      <c r="G13" s="29" t="s">
        <v>636</v>
      </c>
      <c r="H13" s="21" t="s">
        <v>37</v>
      </c>
    </row>
    <row r="14" spans="1:9" x14ac:dyDescent="0.2">
      <c r="A14" s="24" t="s">
        <v>247</v>
      </c>
      <c r="B14" s="19" t="s">
        <v>76</v>
      </c>
      <c r="C14" s="20" t="s">
        <v>84</v>
      </c>
      <c r="D14" s="26" t="s">
        <v>263</v>
      </c>
      <c r="E14" s="20" t="s">
        <v>34</v>
      </c>
      <c r="F14" s="26">
        <v>2900</v>
      </c>
      <c r="G14" s="29" t="s">
        <v>637</v>
      </c>
      <c r="H14" s="21" t="s">
        <v>37</v>
      </c>
    </row>
    <row r="15" spans="1:9" x14ac:dyDescent="0.2">
      <c r="A15" s="24" t="s">
        <v>247</v>
      </c>
      <c r="B15" s="19" t="s">
        <v>74</v>
      </c>
      <c r="C15" s="20" t="s">
        <v>81</v>
      </c>
      <c r="D15" s="26" t="s">
        <v>264</v>
      </c>
      <c r="E15" s="20" t="s">
        <v>34</v>
      </c>
      <c r="F15" s="26">
        <v>585</v>
      </c>
      <c r="G15" s="29" t="s">
        <v>638</v>
      </c>
      <c r="H15" s="21" t="s">
        <v>37</v>
      </c>
    </row>
    <row r="16" spans="1:9" x14ac:dyDescent="0.2">
      <c r="A16" s="24" t="s">
        <v>247</v>
      </c>
      <c r="B16" s="19" t="s">
        <v>78</v>
      </c>
      <c r="C16" s="20" t="s">
        <v>139</v>
      </c>
      <c r="D16" s="26" t="s">
        <v>265</v>
      </c>
      <c r="E16" s="20" t="s">
        <v>34</v>
      </c>
      <c r="F16" s="26">
        <v>772</v>
      </c>
      <c r="G16" s="29" t="s">
        <v>639</v>
      </c>
      <c r="H16" s="21" t="s">
        <v>37</v>
      </c>
      <c r="I16" s="26" t="s">
        <v>415</v>
      </c>
    </row>
    <row r="17" spans="1:9" x14ac:dyDescent="0.2">
      <c r="A17" s="24" t="s">
        <v>247</v>
      </c>
      <c r="B17" s="19" t="s">
        <v>208</v>
      </c>
      <c r="C17" s="20" t="s">
        <v>79</v>
      </c>
      <c r="D17" s="26" t="s">
        <v>266</v>
      </c>
      <c r="E17" s="20" t="s">
        <v>34</v>
      </c>
      <c r="F17" s="26">
        <v>80</v>
      </c>
      <c r="G17" s="32" t="s">
        <v>640</v>
      </c>
      <c r="H17" s="21" t="s">
        <v>37</v>
      </c>
    </row>
    <row r="18" spans="1:9" x14ac:dyDescent="0.2">
      <c r="A18" s="24" t="s">
        <v>247</v>
      </c>
      <c r="B18" s="19" t="s">
        <v>71</v>
      </c>
      <c r="C18" s="20" t="s">
        <v>88</v>
      </c>
      <c r="D18" s="26" t="s">
        <v>413</v>
      </c>
      <c r="E18" s="20" t="s">
        <v>23</v>
      </c>
      <c r="F18" s="26">
        <v>2613</v>
      </c>
      <c r="G18" s="29" t="s">
        <v>641</v>
      </c>
      <c r="H18" s="21" t="s">
        <v>37</v>
      </c>
      <c r="I18" s="26" t="s">
        <v>414</v>
      </c>
    </row>
    <row r="19" spans="1:9" x14ac:dyDescent="0.2">
      <c r="A19" s="24" t="s">
        <v>247</v>
      </c>
      <c r="B19" s="19" t="s">
        <v>244</v>
      </c>
      <c r="C19" s="20" t="s">
        <v>245</v>
      </c>
      <c r="D19" s="26" t="s">
        <v>490</v>
      </c>
      <c r="E19" s="20" t="s">
        <v>34</v>
      </c>
      <c r="F19" s="26">
        <v>1526</v>
      </c>
      <c r="G19" s="32" t="s">
        <v>642</v>
      </c>
      <c r="H19" s="21" t="s">
        <v>37</v>
      </c>
    </row>
    <row r="20" spans="1:9" x14ac:dyDescent="0.2">
      <c r="A20" s="24" t="s">
        <v>247</v>
      </c>
      <c r="B20" s="19" t="s">
        <v>237</v>
      </c>
      <c r="C20" s="20" t="s">
        <v>240</v>
      </c>
      <c r="D20" s="26" t="s">
        <v>492</v>
      </c>
      <c r="E20" s="20" t="s">
        <v>34</v>
      </c>
      <c r="F20" s="26">
        <v>1524</v>
      </c>
      <c r="G20" s="32" t="s">
        <v>643</v>
      </c>
      <c r="H20" s="21" t="s">
        <v>37</v>
      </c>
    </row>
    <row r="21" spans="1:9" x14ac:dyDescent="0.2">
      <c r="A21" s="24" t="s">
        <v>247</v>
      </c>
      <c r="B21" s="19" t="s">
        <v>76</v>
      </c>
      <c r="C21" s="20" t="s">
        <v>84</v>
      </c>
      <c r="D21" s="26" t="s">
        <v>460</v>
      </c>
      <c r="E21" s="20" t="s">
        <v>23</v>
      </c>
      <c r="F21" s="26">
        <v>2908</v>
      </c>
      <c r="G21" s="29" t="s">
        <v>644</v>
      </c>
      <c r="H21" s="21" t="s">
        <v>37</v>
      </c>
    </row>
    <row r="22" spans="1:9" x14ac:dyDescent="0.2">
      <c r="A22" s="24" t="s">
        <v>247</v>
      </c>
      <c r="B22" s="19" t="s">
        <v>76</v>
      </c>
      <c r="C22" s="20" t="s">
        <v>84</v>
      </c>
      <c r="D22" s="26" t="s">
        <v>494</v>
      </c>
      <c r="E22" s="20" t="s">
        <v>256</v>
      </c>
      <c r="F22" s="26">
        <v>2910</v>
      </c>
      <c r="G22" s="29" t="s">
        <v>645</v>
      </c>
      <c r="H22" s="21" t="s">
        <v>37</v>
      </c>
      <c r="I22" s="26" t="s">
        <v>495</v>
      </c>
    </row>
    <row r="23" spans="1:9" x14ac:dyDescent="0.2">
      <c r="A23" s="24" t="s">
        <v>247</v>
      </c>
      <c r="B23" s="19" t="s">
        <v>75</v>
      </c>
      <c r="C23" s="20" t="s">
        <v>82</v>
      </c>
      <c r="D23" s="26" t="s">
        <v>496</v>
      </c>
      <c r="E23" s="20" t="s">
        <v>23</v>
      </c>
      <c r="F23" s="26">
        <v>572</v>
      </c>
      <c r="G23" s="32" t="s">
        <v>646</v>
      </c>
      <c r="H23" s="21" t="s">
        <v>37</v>
      </c>
    </row>
    <row r="24" spans="1:9" x14ac:dyDescent="0.2">
      <c r="A24" s="24" t="s">
        <v>247</v>
      </c>
      <c r="B24" s="19" t="s">
        <v>207</v>
      </c>
      <c r="C24" s="20" t="s">
        <v>80</v>
      </c>
      <c r="D24" s="26" t="s">
        <v>528</v>
      </c>
      <c r="E24" s="20" t="s">
        <v>34</v>
      </c>
      <c r="F24" s="26">
        <v>578</v>
      </c>
      <c r="G24" s="32" t="s">
        <v>647</v>
      </c>
      <c r="H24" s="21" t="s">
        <v>37</v>
      </c>
    </row>
    <row r="25" spans="1:9" x14ac:dyDescent="0.2">
      <c r="A25" s="24" t="s">
        <v>247</v>
      </c>
      <c r="B25" s="19" t="s">
        <v>208</v>
      </c>
      <c r="C25" s="20" t="s">
        <v>79</v>
      </c>
      <c r="D25" s="26" t="s">
        <v>529</v>
      </c>
      <c r="E25" s="20" t="s">
        <v>34</v>
      </c>
      <c r="F25" s="26">
        <v>80.599999999999994</v>
      </c>
      <c r="G25" s="32" t="s">
        <v>648</v>
      </c>
      <c r="H25" s="21" t="s">
        <v>37</v>
      </c>
    </row>
    <row r="26" spans="1:9" x14ac:dyDescent="0.2">
      <c r="C26" s="20"/>
      <c r="E26" s="20"/>
      <c r="H26" s="21"/>
    </row>
    <row r="27" spans="1:9" x14ac:dyDescent="0.2">
      <c r="C27" s="20"/>
      <c r="E27" s="20"/>
      <c r="H27" s="21"/>
    </row>
    <row r="28" spans="1:9" x14ac:dyDescent="0.2">
      <c r="C28" s="20"/>
      <c r="E28" s="20"/>
      <c r="H28" s="21"/>
    </row>
    <row r="29" spans="1:9" x14ac:dyDescent="0.2">
      <c r="C29" s="20"/>
      <c r="E29" s="20"/>
      <c r="H29" s="21"/>
    </row>
    <row r="30" spans="1:9" x14ac:dyDescent="0.2">
      <c r="C30" s="20"/>
      <c r="H30" s="21"/>
    </row>
    <row r="31" spans="1:9" x14ac:dyDescent="0.2">
      <c r="C31" s="20"/>
    </row>
    <row r="32" spans="1:9" x14ac:dyDescent="0.2">
      <c r="C32" s="20"/>
    </row>
  </sheetData>
  <phoneticPr fontId="6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1000000}">
          <x14:formula1>
            <xm:f>_Flags_!$C$2:$C$17</xm:f>
          </x14:formula1>
          <xm:sqref>H2:H30</xm:sqref>
        </x14:dataValidation>
        <x14:dataValidation type="list" allowBlank="1" showInputMessage="1" showErrorMessage="1" xr:uid="{00000000-0002-0000-0100-000002000000}">
          <x14:formula1>
            <xm:f>'  _Stations_  '!$A$1:$A$55</xm:f>
          </x14:formula1>
          <xm:sqref>B24:B26 B28:B30</xm:sqref>
        </x14:dataValidation>
        <x14:dataValidation type="list" allowBlank="1" showInputMessage="1" showErrorMessage="1" xr:uid="{00000000-0002-0000-0100-000005000000}">
          <x14:formula1>
            <xm:f>'  _Stations_  '!$A:$A</xm:f>
          </x14:formula1>
          <xm:sqref>B2:B23 B27</xm:sqref>
        </x14:dataValidation>
        <x14:dataValidation type="list" allowBlank="1" showInputMessage="1" showErrorMessage="1" xr:uid="{00000000-0002-0000-0100-000004000000}">
          <x14:formula1>
            <xm:f>_TargetAssets_!$A$1:$A$20</xm:f>
          </x14:formula1>
          <xm:sqref>C24:C25 C31:C32</xm:sqref>
        </x14:dataValidation>
        <x14:dataValidation type="list" allowBlank="1" showInputMessage="1" showErrorMessage="1" xr:uid="{00000000-0002-0000-0100-000003000000}">
          <x14:formula1>
            <xm:f>_TargetAssets_!$A:$A</xm:f>
          </x14:formula1>
          <xm:sqref>C2:C23 C26:C30</xm:sqref>
        </x14:dataValidation>
        <x14:dataValidation type="list" allowBlank="1" showInputMessage="1" showErrorMessage="1" xr:uid="{00000000-0002-0000-0100-000000000000}">
          <x14:formula1>
            <xm:f>_Flags_!$B$2:$B$17</xm:f>
          </x14:formula1>
          <xm:sqref>E2:E29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92D050"/>
  </sheetPr>
  <dimension ref="A1:K55"/>
  <sheetViews>
    <sheetView zoomScale="150" workbookViewId="0">
      <selection activeCell="E5" sqref="E5"/>
    </sheetView>
  </sheetViews>
  <sheetFormatPr baseColWidth="10" defaultRowHeight="16" x14ac:dyDescent="0.2"/>
  <cols>
    <col min="1" max="1" width="10.83203125" style="19"/>
    <col min="2" max="2" width="7.5" style="19" bestFit="1" customWidth="1"/>
    <col min="3" max="3" width="20.83203125" style="19" bestFit="1" customWidth="1"/>
    <col min="4" max="4" width="22.33203125" style="19" bestFit="1" customWidth="1"/>
    <col min="5" max="5" width="25.6640625" style="19" bestFit="1" customWidth="1"/>
    <col min="6" max="6" width="26.6640625" style="19" bestFit="1" customWidth="1"/>
    <col min="7" max="7" width="23.33203125" style="19" customWidth="1"/>
    <col min="8" max="8" width="45.33203125" style="19" customWidth="1"/>
    <col min="9" max="9" width="8.1640625" style="19" bestFit="1" customWidth="1"/>
    <col min="10" max="10" width="45.6640625" style="19" bestFit="1" customWidth="1"/>
    <col min="11" max="11" width="36.1640625" style="19" bestFit="1" customWidth="1"/>
    <col min="12" max="16384" width="10.83203125" style="19"/>
  </cols>
  <sheetData>
    <row r="1" spans="1:11" x14ac:dyDescent="0.2">
      <c r="A1" s="23" t="s">
        <v>15</v>
      </c>
      <c r="B1" s="46" t="s">
        <v>159</v>
      </c>
      <c r="C1" s="46" t="s">
        <v>160</v>
      </c>
      <c r="D1" s="46" t="s">
        <v>161</v>
      </c>
      <c r="E1" s="46" t="s">
        <v>162</v>
      </c>
      <c r="F1" s="46" t="s">
        <v>158</v>
      </c>
      <c r="G1" s="46" t="s">
        <v>157</v>
      </c>
      <c r="H1" s="46" t="s">
        <v>156</v>
      </c>
      <c r="I1" s="46" t="s">
        <v>155</v>
      </c>
      <c r="J1" s="46" t="s">
        <v>154</v>
      </c>
      <c r="K1" s="46" t="s">
        <v>0</v>
      </c>
    </row>
    <row r="2" spans="1:11" x14ac:dyDescent="0.2">
      <c r="A2" s="19" t="s">
        <v>247</v>
      </c>
      <c r="B2" s="19" t="s">
        <v>253</v>
      </c>
      <c r="C2" s="58">
        <v>44.374258599999997</v>
      </c>
      <c r="D2" s="58">
        <v>-124.9562463</v>
      </c>
      <c r="E2" s="58" t="s">
        <v>650</v>
      </c>
      <c r="F2" s="58" t="s">
        <v>649</v>
      </c>
      <c r="G2" s="19" t="s">
        <v>100</v>
      </c>
      <c r="H2" s="19" t="s">
        <v>651</v>
      </c>
      <c r="I2" s="58">
        <v>197.44</v>
      </c>
      <c r="J2" s="19" t="s">
        <v>652</v>
      </c>
    </row>
    <row r="3" spans="1:11" x14ac:dyDescent="0.2">
      <c r="A3" s="19" t="s">
        <v>247</v>
      </c>
      <c r="B3" s="19" t="s">
        <v>253</v>
      </c>
      <c r="C3" s="19">
        <v>44.374261699999998</v>
      </c>
      <c r="D3" s="19">
        <v>-124.95626710000001</v>
      </c>
      <c r="E3" s="19" t="s">
        <v>541</v>
      </c>
      <c r="F3" s="19" t="s">
        <v>538</v>
      </c>
      <c r="G3" s="19" t="s">
        <v>101</v>
      </c>
      <c r="H3" s="19" t="s">
        <v>539</v>
      </c>
      <c r="I3" s="19">
        <v>197.42</v>
      </c>
      <c r="J3" s="19" t="s">
        <v>540</v>
      </c>
    </row>
    <row r="4" spans="1:11" x14ac:dyDescent="0.2">
      <c r="A4" s="19" t="s">
        <v>247</v>
      </c>
      <c r="B4" s="19" t="s">
        <v>254</v>
      </c>
      <c r="C4" s="19">
        <v>44.374231399999999</v>
      </c>
      <c r="D4" s="19">
        <v>-124.95640779999999</v>
      </c>
      <c r="E4" s="19" t="s">
        <v>543</v>
      </c>
      <c r="F4" s="19" t="s">
        <v>542</v>
      </c>
      <c r="G4" s="19" t="s">
        <v>100</v>
      </c>
      <c r="H4" s="19" t="s">
        <v>653</v>
      </c>
      <c r="I4" s="19">
        <v>197.82</v>
      </c>
      <c r="J4" s="19" t="s">
        <v>544</v>
      </c>
    </row>
    <row r="5" spans="1:11" x14ac:dyDescent="0.2">
      <c r="A5" s="19" t="s">
        <v>247</v>
      </c>
      <c r="B5" s="19" t="s">
        <v>255</v>
      </c>
      <c r="C5" s="62">
        <v>44.528930099999997</v>
      </c>
      <c r="D5" s="62">
        <v>-125.3890694</v>
      </c>
      <c r="E5" s="62" t="s">
        <v>656</v>
      </c>
      <c r="F5" s="62" t="s">
        <v>655</v>
      </c>
      <c r="G5" s="19" t="s">
        <v>101</v>
      </c>
      <c r="H5" s="19" t="s">
        <v>657</v>
      </c>
      <c r="I5" s="62">
        <v>189.85</v>
      </c>
      <c r="J5" s="19" t="s">
        <v>658</v>
      </c>
    </row>
    <row r="6" spans="1:11" x14ac:dyDescent="0.2">
      <c r="A6" s="19" t="s">
        <v>247</v>
      </c>
      <c r="B6" s="19" t="s">
        <v>255</v>
      </c>
      <c r="C6" s="19">
        <v>44.528935799999999</v>
      </c>
      <c r="D6" s="19">
        <v>-125.38906969999999</v>
      </c>
      <c r="E6" s="19" t="s">
        <v>548</v>
      </c>
      <c r="F6" s="19" t="s">
        <v>546</v>
      </c>
      <c r="G6" s="19" t="s">
        <v>100</v>
      </c>
      <c r="H6" s="19" t="s">
        <v>547</v>
      </c>
      <c r="I6" s="19">
        <v>189.83</v>
      </c>
      <c r="J6" s="19" t="s">
        <v>545</v>
      </c>
    </row>
    <row r="7" spans="1:11" x14ac:dyDescent="0.2">
      <c r="A7" s="19" t="s">
        <v>247</v>
      </c>
      <c r="B7" s="19" t="s">
        <v>257</v>
      </c>
      <c r="C7" s="19">
        <v>45.8304659</v>
      </c>
      <c r="D7" s="19">
        <v>-129.7538275</v>
      </c>
      <c r="E7" s="19" t="s">
        <v>555</v>
      </c>
      <c r="F7" s="19" t="s">
        <v>551</v>
      </c>
      <c r="G7" s="19" t="s">
        <v>101</v>
      </c>
      <c r="H7" s="19" t="s">
        <v>552</v>
      </c>
      <c r="I7" s="19">
        <v>190.35</v>
      </c>
      <c r="J7" s="19" t="s">
        <v>549</v>
      </c>
    </row>
    <row r="8" spans="1:11" x14ac:dyDescent="0.2">
      <c r="A8" s="19" t="s">
        <v>247</v>
      </c>
      <c r="B8" s="19" t="s">
        <v>257</v>
      </c>
      <c r="C8" s="19">
        <v>45.830464999999997</v>
      </c>
      <c r="D8" s="19">
        <v>-129.75382680000001</v>
      </c>
      <c r="E8" s="19" t="s">
        <v>556</v>
      </c>
      <c r="F8" s="19" t="s">
        <v>553</v>
      </c>
      <c r="G8" s="19" t="s">
        <v>100</v>
      </c>
      <c r="H8" s="19" t="s">
        <v>554</v>
      </c>
      <c r="I8" s="19">
        <v>190.34</v>
      </c>
      <c r="J8" s="19" t="s">
        <v>550</v>
      </c>
    </row>
    <row r="9" spans="1:11" x14ac:dyDescent="0.2">
      <c r="A9" s="19" t="s">
        <v>247</v>
      </c>
      <c r="B9" s="19" t="s">
        <v>258</v>
      </c>
      <c r="C9" s="19">
        <v>45.830430100000001</v>
      </c>
      <c r="D9" s="19">
        <v>-129.75301339999999</v>
      </c>
      <c r="E9" s="19" t="s">
        <v>606</v>
      </c>
      <c r="F9" s="19" t="s">
        <v>559</v>
      </c>
      <c r="G9" s="19" t="s">
        <v>101</v>
      </c>
      <c r="H9" s="19" t="s">
        <v>560</v>
      </c>
      <c r="I9" s="19">
        <v>185.36</v>
      </c>
      <c r="J9" s="19" t="s">
        <v>557</v>
      </c>
    </row>
    <row r="10" spans="1:11" x14ac:dyDescent="0.2">
      <c r="A10" s="19" t="s">
        <v>247</v>
      </c>
      <c r="B10" s="19" t="s">
        <v>258</v>
      </c>
      <c r="C10" s="19">
        <v>45.8304294</v>
      </c>
      <c r="D10" s="19">
        <v>-129.75301640000001</v>
      </c>
      <c r="E10" s="19" t="s">
        <v>607</v>
      </c>
      <c r="F10" s="19" t="s">
        <v>561</v>
      </c>
      <c r="G10" s="19" t="s">
        <v>100</v>
      </c>
      <c r="H10" s="19" t="s">
        <v>562</v>
      </c>
      <c r="I10" s="19">
        <v>185.37</v>
      </c>
      <c r="J10" s="19" t="s">
        <v>558</v>
      </c>
    </row>
    <row r="11" spans="1:11" x14ac:dyDescent="0.2">
      <c r="A11" s="19" t="s">
        <v>247</v>
      </c>
      <c r="B11" s="19" t="s">
        <v>260</v>
      </c>
      <c r="C11" s="19">
        <v>45.816919300000002</v>
      </c>
      <c r="D11" s="19">
        <v>-129.75411360000001</v>
      </c>
      <c r="E11" s="19" t="s">
        <v>608</v>
      </c>
      <c r="F11" s="19" t="s">
        <v>567</v>
      </c>
      <c r="G11" s="19" t="s">
        <v>100</v>
      </c>
      <c r="H11" s="19" t="s">
        <v>565</v>
      </c>
      <c r="I11" s="19">
        <v>2606.75</v>
      </c>
      <c r="J11" s="19" t="s">
        <v>563</v>
      </c>
    </row>
    <row r="12" spans="1:11" x14ac:dyDescent="0.2">
      <c r="A12" s="19" t="s">
        <v>247</v>
      </c>
      <c r="B12" s="19" t="s">
        <v>260</v>
      </c>
      <c r="C12" s="19">
        <v>45.816919300000002</v>
      </c>
      <c r="D12" s="19">
        <v>-129.7541138</v>
      </c>
      <c r="E12" s="19" t="s">
        <v>609</v>
      </c>
      <c r="F12" s="19" t="s">
        <v>568</v>
      </c>
      <c r="G12" s="19" t="s">
        <v>101</v>
      </c>
      <c r="H12" s="19" t="s">
        <v>566</v>
      </c>
      <c r="I12" s="19">
        <v>2606.7399999999998</v>
      </c>
      <c r="J12" s="19" t="s">
        <v>564</v>
      </c>
    </row>
    <row r="13" spans="1:11" x14ac:dyDescent="0.2">
      <c r="A13" s="19" t="s">
        <v>247</v>
      </c>
      <c r="B13" s="19" t="s">
        <v>262</v>
      </c>
      <c r="C13" s="19">
        <v>45.933634300000001</v>
      </c>
      <c r="D13" s="19">
        <v>-130.0137708</v>
      </c>
      <c r="E13" s="19" t="s">
        <v>610</v>
      </c>
      <c r="F13" s="19" t="s">
        <v>572</v>
      </c>
      <c r="G13" s="19" t="s">
        <v>101</v>
      </c>
      <c r="H13" s="19" t="s">
        <v>571</v>
      </c>
      <c r="I13" s="19">
        <v>1537.74</v>
      </c>
      <c r="J13" s="19" t="s">
        <v>569</v>
      </c>
    </row>
    <row r="14" spans="1:11" x14ac:dyDescent="0.2">
      <c r="A14" s="19" t="s">
        <v>247</v>
      </c>
      <c r="B14" s="19" t="s">
        <v>262</v>
      </c>
      <c r="C14" s="19">
        <v>45.933766400000003</v>
      </c>
      <c r="D14" s="19">
        <v>-130.01377640000001</v>
      </c>
      <c r="E14" s="19" t="s">
        <v>611</v>
      </c>
      <c r="F14" s="19" t="s">
        <v>573</v>
      </c>
      <c r="G14" s="19" t="s">
        <v>100</v>
      </c>
      <c r="H14" s="19" t="s">
        <v>565</v>
      </c>
      <c r="I14" s="19">
        <v>1536.74</v>
      </c>
      <c r="J14" s="19" t="s">
        <v>570</v>
      </c>
    </row>
    <row r="15" spans="1:11" x14ac:dyDescent="0.2">
      <c r="A15" s="19" t="s">
        <v>247</v>
      </c>
      <c r="B15" s="19" t="s">
        <v>263</v>
      </c>
      <c r="C15" s="19">
        <v>44.529014500000002</v>
      </c>
      <c r="D15" s="19">
        <v>-125.3893712</v>
      </c>
      <c r="E15" s="19" t="s">
        <v>612</v>
      </c>
      <c r="F15" s="19" t="s">
        <v>576</v>
      </c>
      <c r="G15" s="19" t="s">
        <v>100</v>
      </c>
      <c r="H15" s="19" t="s">
        <v>565</v>
      </c>
      <c r="I15" s="19">
        <v>191.5</v>
      </c>
      <c r="J15" s="19" t="s">
        <v>574</v>
      </c>
    </row>
    <row r="16" spans="1:11" x14ac:dyDescent="0.2">
      <c r="A16" s="19" t="s">
        <v>247</v>
      </c>
      <c r="B16" s="19" t="s">
        <v>263</v>
      </c>
      <c r="C16" s="19">
        <v>44.529013800000001</v>
      </c>
      <c r="D16" s="19">
        <v>-125.3893734</v>
      </c>
      <c r="E16" s="19" t="s">
        <v>613</v>
      </c>
      <c r="F16" s="19" t="s">
        <v>577</v>
      </c>
      <c r="G16" s="19" t="s">
        <v>101</v>
      </c>
      <c r="H16" s="19" t="s">
        <v>566</v>
      </c>
      <c r="I16" s="19">
        <v>191.49</v>
      </c>
      <c r="J16" s="19" t="s">
        <v>575</v>
      </c>
    </row>
    <row r="17" spans="1:10" x14ac:dyDescent="0.2">
      <c r="A17" s="19" t="s">
        <v>247</v>
      </c>
      <c r="B17" s="19" t="s">
        <v>264</v>
      </c>
      <c r="C17" s="19">
        <v>44.159434699999998</v>
      </c>
      <c r="D17" s="19">
        <v>-124.7690006</v>
      </c>
      <c r="E17" s="19" t="s">
        <v>614</v>
      </c>
      <c r="F17" s="19" t="s">
        <v>582</v>
      </c>
      <c r="G17" s="19" t="s">
        <v>101</v>
      </c>
      <c r="H17" s="19" t="s">
        <v>580</v>
      </c>
      <c r="I17" s="19">
        <v>575.21</v>
      </c>
      <c r="J17" s="19" t="s">
        <v>578</v>
      </c>
    </row>
    <row r="18" spans="1:10" x14ac:dyDescent="0.2">
      <c r="A18" s="19" t="s">
        <v>247</v>
      </c>
      <c r="B18" s="19" t="s">
        <v>264</v>
      </c>
      <c r="C18" s="19">
        <v>44.159434599999997</v>
      </c>
      <c r="D18" s="19">
        <v>-124.7689998</v>
      </c>
      <c r="E18" s="19" t="s">
        <v>615</v>
      </c>
      <c r="F18" s="19" t="s">
        <v>583</v>
      </c>
      <c r="G18" s="19" t="s">
        <v>100</v>
      </c>
      <c r="H18" s="19" t="s">
        <v>581</v>
      </c>
      <c r="I18" s="19">
        <v>575.24</v>
      </c>
      <c r="J18" s="19" t="s">
        <v>579</v>
      </c>
    </row>
    <row r="19" spans="1:10" x14ac:dyDescent="0.2">
      <c r="A19" s="19" t="s">
        <v>247</v>
      </c>
      <c r="B19" s="57" t="s">
        <v>266</v>
      </c>
      <c r="C19" s="19">
        <v>44.637041199999999</v>
      </c>
      <c r="D19" s="19">
        <v>-124.30483839999999</v>
      </c>
      <c r="E19" s="19" t="s">
        <v>616</v>
      </c>
      <c r="F19" s="19" t="s">
        <v>586</v>
      </c>
      <c r="G19" s="19" t="s">
        <v>101</v>
      </c>
      <c r="H19" s="19" t="s">
        <v>566</v>
      </c>
      <c r="I19" s="19">
        <v>81.03</v>
      </c>
      <c r="J19" s="19" t="s">
        <v>584</v>
      </c>
    </row>
    <row r="20" spans="1:10" x14ac:dyDescent="0.2">
      <c r="A20" s="19" t="s">
        <v>247</v>
      </c>
      <c r="B20" s="57" t="s">
        <v>266</v>
      </c>
      <c r="C20" s="19">
        <v>44.637040300000002</v>
      </c>
      <c r="D20" s="19">
        <v>-124.3048391</v>
      </c>
      <c r="E20" s="19" t="s">
        <v>617</v>
      </c>
      <c r="F20" s="19" t="s">
        <v>587</v>
      </c>
      <c r="G20" s="19" t="s">
        <v>100</v>
      </c>
      <c r="H20" s="19" t="s">
        <v>565</v>
      </c>
      <c r="I20" s="19">
        <v>80.98</v>
      </c>
      <c r="J20" s="19" t="s">
        <v>585</v>
      </c>
    </row>
    <row r="21" spans="1:10" x14ac:dyDescent="0.2">
      <c r="A21" s="19" t="s">
        <v>247</v>
      </c>
      <c r="B21" s="57" t="s">
        <v>490</v>
      </c>
      <c r="C21" s="19">
        <v>45.925863100000001</v>
      </c>
      <c r="D21" s="19">
        <v>-129.97765939999999</v>
      </c>
      <c r="E21" s="19" t="s">
        <v>618</v>
      </c>
      <c r="F21" s="19" t="s">
        <v>592</v>
      </c>
      <c r="G21" s="19" t="s">
        <v>101</v>
      </c>
      <c r="H21" s="19" t="s">
        <v>590</v>
      </c>
      <c r="I21" s="19">
        <v>1526.17</v>
      </c>
      <c r="J21" s="19" t="s">
        <v>588</v>
      </c>
    </row>
    <row r="22" spans="1:10" x14ac:dyDescent="0.2">
      <c r="A22" s="19" t="s">
        <v>247</v>
      </c>
      <c r="B22" s="57" t="s">
        <v>490</v>
      </c>
      <c r="C22" s="19">
        <v>45.925863200000002</v>
      </c>
      <c r="D22" s="19">
        <v>-129.97765949999999</v>
      </c>
      <c r="E22" s="19" t="s">
        <v>619</v>
      </c>
      <c r="F22" s="19" t="s">
        <v>593</v>
      </c>
      <c r="G22" s="19" t="s">
        <v>100</v>
      </c>
      <c r="H22" s="19" t="s">
        <v>591</v>
      </c>
      <c r="I22" s="19">
        <v>1526.16</v>
      </c>
      <c r="J22" s="19" t="s">
        <v>589</v>
      </c>
    </row>
    <row r="23" spans="1:10" x14ac:dyDescent="0.2">
      <c r="A23" s="19" t="s">
        <v>247</v>
      </c>
      <c r="B23" s="57" t="s">
        <v>492</v>
      </c>
      <c r="C23" s="19">
        <v>45.954944599999997</v>
      </c>
      <c r="D23" s="19">
        <v>-130.00875569999999</v>
      </c>
      <c r="E23" s="19" t="s">
        <v>620</v>
      </c>
      <c r="F23" s="19" t="s">
        <v>596</v>
      </c>
      <c r="G23" s="19" t="s">
        <v>100</v>
      </c>
      <c r="H23" s="19" t="s">
        <v>594</v>
      </c>
      <c r="I23" s="19">
        <v>1508.98</v>
      </c>
      <c r="J23" s="19" t="s">
        <v>595</v>
      </c>
    </row>
    <row r="24" spans="1:10" x14ac:dyDescent="0.2">
      <c r="A24" s="19" t="s">
        <v>247</v>
      </c>
      <c r="B24" s="57" t="s">
        <v>528</v>
      </c>
      <c r="C24" s="19">
        <v>44.369289600000002</v>
      </c>
      <c r="D24" s="19">
        <v>-124.9536688</v>
      </c>
      <c r="E24" s="19" t="s">
        <v>621</v>
      </c>
      <c r="F24" s="19" t="s">
        <v>600</v>
      </c>
      <c r="G24" s="19" t="s">
        <v>100</v>
      </c>
      <c r="H24" s="19" t="s">
        <v>565</v>
      </c>
      <c r="I24" s="19">
        <v>578.24</v>
      </c>
      <c r="J24" s="19" t="s">
        <v>597</v>
      </c>
    </row>
    <row r="25" spans="1:10" x14ac:dyDescent="0.2">
      <c r="A25" s="19" t="s">
        <v>247</v>
      </c>
      <c r="B25" s="57" t="s">
        <v>528</v>
      </c>
      <c r="C25" s="19">
        <v>44.369290499999998</v>
      </c>
      <c r="D25" s="19">
        <v>-124.95366799999999</v>
      </c>
      <c r="E25" s="19" t="s">
        <v>622</v>
      </c>
      <c r="F25" s="19" t="s">
        <v>601</v>
      </c>
      <c r="G25" s="19" t="s">
        <v>101</v>
      </c>
      <c r="H25" s="19" t="s">
        <v>599</v>
      </c>
      <c r="I25" s="19">
        <v>578.23</v>
      </c>
      <c r="J25" s="19" t="s">
        <v>598</v>
      </c>
    </row>
    <row r="26" spans="1:10" x14ac:dyDescent="0.2">
      <c r="A26" s="19" t="s">
        <v>247</v>
      </c>
      <c r="B26" s="57" t="s">
        <v>529</v>
      </c>
      <c r="C26" s="19">
        <v>44.637234399999997</v>
      </c>
      <c r="D26" s="19">
        <v>-124.3056596</v>
      </c>
      <c r="E26" s="19" t="s">
        <v>623</v>
      </c>
      <c r="F26" s="19" t="s">
        <v>604</v>
      </c>
      <c r="G26" s="19" t="s">
        <v>100</v>
      </c>
      <c r="H26" s="19" t="s">
        <v>565</v>
      </c>
      <c r="I26" s="19">
        <v>80.06</v>
      </c>
      <c r="J26" s="19" t="s">
        <v>602</v>
      </c>
    </row>
    <row r="27" spans="1:10" x14ac:dyDescent="0.2">
      <c r="A27" s="19" t="s">
        <v>247</v>
      </c>
      <c r="B27" s="57" t="s">
        <v>529</v>
      </c>
      <c r="C27" s="19">
        <v>44.637233999999999</v>
      </c>
      <c r="D27" s="19">
        <v>-124.30566399999999</v>
      </c>
      <c r="E27" s="19" t="s">
        <v>624</v>
      </c>
      <c r="F27" s="19" t="s">
        <v>605</v>
      </c>
      <c r="G27" s="19" t="s">
        <v>101</v>
      </c>
      <c r="H27" s="19" t="s">
        <v>566</v>
      </c>
      <c r="I27" s="19">
        <v>80</v>
      </c>
      <c r="J27" s="19" t="s">
        <v>603</v>
      </c>
    </row>
    <row r="31" spans="1:10" x14ac:dyDescent="0.2">
      <c r="I31" s="45"/>
    </row>
    <row r="50" spans="6:6" x14ac:dyDescent="0.2">
      <c r="F50" s="33"/>
    </row>
    <row r="51" spans="6:6" x14ac:dyDescent="0.2">
      <c r="F51" s="33"/>
    </row>
    <row r="52" spans="6:6" x14ac:dyDescent="0.2">
      <c r="F52" s="33"/>
    </row>
    <row r="53" spans="6:6" x14ac:dyDescent="0.2">
      <c r="F53" s="33"/>
    </row>
    <row r="54" spans="6:6" x14ac:dyDescent="0.2">
      <c r="F54" s="33"/>
    </row>
    <row r="55" spans="6:6" x14ac:dyDescent="0.2">
      <c r="F55" s="3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D7FF7-F4FA-1848-84F0-9BDD389B94F7}">
          <x14:formula1>
            <xm:f>_NiskinBottles_!$A:$A</xm:f>
          </x14:formula1>
          <xm:sqref>G2:G37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92D050"/>
  </sheetPr>
  <dimension ref="A1:AC682"/>
  <sheetViews>
    <sheetView topLeftCell="Q66" zoomScale="105" workbookViewId="0">
      <selection activeCell="G11" sqref="G11"/>
    </sheetView>
  </sheetViews>
  <sheetFormatPr baseColWidth="10" defaultRowHeight="16" x14ac:dyDescent="0.2"/>
  <cols>
    <col min="1" max="1" width="8.5" style="19" bestFit="1" customWidth="1"/>
    <col min="2" max="2" width="19.1640625" style="19" bestFit="1" customWidth="1"/>
    <col min="3" max="3" width="17" style="19" customWidth="1"/>
    <col min="4" max="4" width="11.83203125" style="28" customWidth="1"/>
    <col min="5" max="5" width="20" style="28" customWidth="1"/>
    <col min="6" max="6" width="46.83203125" style="19" customWidth="1"/>
    <col min="7" max="7" width="31.33203125" style="19" customWidth="1"/>
    <col min="8" max="8" width="16.6640625" style="28" customWidth="1"/>
    <col min="9" max="9" width="25.6640625" style="19" customWidth="1"/>
    <col min="10" max="10" width="31.33203125" style="19" customWidth="1"/>
    <col min="11" max="11" width="21.6640625" style="28" customWidth="1"/>
    <col min="12" max="12" width="20" style="19" customWidth="1"/>
    <col min="13" max="13" width="28.5" style="19" customWidth="1"/>
    <col min="14" max="14" width="18.33203125" style="28" customWidth="1"/>
    <col min="15" max="15" width="16.83203125" style="19" customWidth="1"/>
    <col min="16" max="16" width="25.1640625" style="19" customWidth="1"/>
    <col min="17" max="17" width="16" style="28" customWidth="1"/>
    <col min="18" max="18" width="14.5" style="19" customWidth="1"/>
    <col min="19" max="19" width="23" style="19" customWidth="1"/>
    <col min="20" max="20" width="20.83203125" style="28" customWidth="1"/>
    <col min="21" max="21" width="20.1640625" style="19" customWidth="1"/>
    <col min="22" max="22" width="28.6640625" style="19" customWidth="1"/>
    <col min="23" max="23" width="20" style="28" customWidth="1"/>
    <col min="24" max="24" width="18.5" style="19" customWidth="1"/>
    <col min="25" max="25" width="27" style="19" customWidth="1"/>
    <col min="26" max="26" width="23.1640625" style="38" customWidth="1"/>
    <col min="27" max="27" width="46.83203125" style="19" customWidth="1"/>
    <col min="28" max="28" width="31.83203125" style="19" customWidth="1"/>
    <col min="29" max="29" width="106" style="28" bestFit="1" customWidth="1"/>
    <col min="30" max="16384" width="10.83203125" style="19"/>
  </cols>
  <sheetData>
    <row r="1" spans="1:29" ht="44" customHeight="1" x14ac:dyDescent="0.2">
      <c r="A1" s="17" t="s">
        <v>14</v>
      </c>
      <c r="B1" s="17" t="s">
        <v>70</v>
      </c>
      <c r="C1" s="17" t="s">
        <v>19</v>
      </c>
      <c r="D1" s="27" t="s">
        <v>89</v>
      </c>
      <c r="E1" s="27" t="s">
        <v>114</v>
      </c>
      <c r="F1" s="17" t="s">
        <v>104</v>
      </c>
      <c r="G1" s="17" t="s">
        <v>105</v>
      </c>
      <c r="H1" s="27" t="s">
        <v>118</v>
      </c>
      <c r="I1" s="17" t="s">
        <v>112</v>
      </c>
      <c r="J1" s="17" t="s">
        <v>113</v>
      </c>
      <c r="K1" s="27" t="s">
        <v>169</v>
      </c>
      <c r="L1" s="17" t="s">
        <v>163</v>
      </c>
      <c r="M1" s="17" t="s">
        <v>164</v>
      </c>
      <c r="N1" s="27" t="s">
        <v>170</v>
      </c>
      <c r="O1" s="17" t="s">
        <v>165</v>
      </c>
      <c r="P1" s="17" t="s">
        <v>166</v>
      </c>
      <c r="Q1" s="27" t="s">
        <v>171</v>
      </c>
      <c r="R1" s="17" t="s">
        <v>167</v>
      </c>
      <c r="S1" s="17" t="s">
        <v>168</v>
      </c>
      <c r="T1" s="27" t="s">
        <v>117</v>
      </c>
      <c r="U1" s="17" t="s">
        <v>108</v>
      </c>
      <c r="V1" s="17" t="s">
        <v>109</v>
      </c>
      <c r="W1" s="27" t="s">
        <v>116</v>
      </c>
      <c r="X1" s="17" t="s">
        <v>110</v>
      </c>
      <c r="Y1" s="17" t="s">
        <v>111</v>
      </c>
      <c r="Z1" s="54" t="s">
        <v>115</v>
      </c>
      <c r="AA1" s="17" t="s">
        <v>106</v>
      </c>
      <c r="AB1" s="17" t="s">
        <v>107</v>
      </c>
      <c r="AC1" s="27" t="s">
        <v>0</v>
      </c>
    </row>
    <row r="2" spans="1:29" x14ac:dyDescent="0.2">
      <c r="A2" s="19" t="s">
        <v>250</v>
      </c>
      <c r="B2" s="19">
        <v>1</v>
      </c>
      <c r="C2" s="19" t="s">
        <v>50</v>
      </c>
      <c r="D2" s="28">
        <v>220</v>
      </c>
      <c r="G2" s="20"/>
      <c r="H2" s="28" t="s">
        <v>268</v>
      </c>
      <c r="J2" s="20" t="s">
        <v>61</v>
      </c>
      <c r="P2" s="20"/>
      <c r="T2" s="28" t="s">
        <v>269</v>
      </c>
      <c r="V2" s="20" t="s">
        <v>61</v>
      </c>
      <c r="Y2" s="20"/>
      <c r="AB2" s="20"/>
    </row>
    <row r="3" spans="1:29" x14ac:dyDescent="0.2">
      <c r="A3" s="19" t="s">
        <v>250</v>
      </c>
      <c r="B3" s="19">
        <v>3</v>
      </c>
      <c r="C3" s="19" t="s">
        <v>50</v>
      </c>
      <c r="D3" s="28">
        <v>200</v>
      </c>
      <c r="E3" s="28" t="s">
        <v>270</v>
      </c>
      <c r="F3" s="19" t="s">
        <v>57</v>
      </c>
      <c r="G3" s="20" t="s">
        <v>62</v>
      </c>
      <c r="H3" s="28" t="s">
        <v>272</v>
      </c>
      <c r="J3" s="20" t="s">
        <v>61</v>
      </c>
      <c r="P3" s="20"/>
      <c r="T3" s="28" t="s">
        <v>273</v>
      </c>
      <c r="V3" s="20" t="s">
        <v>61</v>
      </c>
      <c r="W3" s="28" t="s">
        <v>274</v>
      </c>
      <c r="Y3" s="20" t="s">
        <v>61</v>
      </c>
      <c r="AB3" s="20"/>
    </row>
    <row r="4" spans="1:29" x14ac:dyDescent="0.2">
      <c r="A4" s="19" t="s">
        <v>250</v>
      </c>
      <c r="B4" s="19">
        <v>3</v>
      </c>
      <c r="C4" s="20" t="s">
        <v>50</v>
      </c>
      <c r="D4" s="28">
        <v>200</v>
      </c>
      <c r="E4" s="28" t="s">
        <v>271</v>
      </c>
      <c r="F4" s="19" t="s">
        <v>57</v>
      </c>
      <c r="G4" s="20" t="s">
        <v>62</v>
      </c>
      <c r="P4" s="20"/>
      <c r="Y4" s="20"/>
      <c r="AB4" s="20"/>
    </row>
    <row r="5" spans="1:29" x14ac:dyDescent="0.2">
      <c r="A5" s="19" t="s">
        <v>250</v>
      </c>
      <c r="B5" s="19">
        <v>5</v>
      </c>
      <c r="C5" s="20" t="s">
        <v>50</v>
      </c>
      <c r="D5" s="28">
        <v>180</v>
      </c>
      <c r="G5" s="20"/>
      <c r="H5" s="28" t="s">
        <v>275</v>
      </c>
      <c r="J5" s="20" t="s">
        <v>61</v>
      </c>
      <c r="P5" s="20"/>
      <c r="T5" s="28" t="s">
        <v>276</v>
      </c>
      <c r="V5" s="20"/>
      <c r="Y5" s="20"/>
      <c r="AB5" s="20"/>
    </row>
    <row r="6" spans="1:29" x14ac:dyDescent="0.2">
      <c r="A6" s="19" t="s">
        <v>250</v>
      </c>
      <c r="B6" s="19">
        <v>6</v>
      </c>
      <c r="C6" s="20" t="s">
        <v>50</v>
      </c>
      <c r="D6" s="28">
        <v>180</v>
      </c>
      <c r="G6" s="20"/>
      <c r="J6" s="20"/>
      <c r="V6" s="20"/>
      <c r="Y6" s="20"/>
      <c r="Z6" s="38" t="s">
        <v>277</v>
      </c>
      <c r="AA6" s="19" t="s">
        <v>57</v>
      </c>
      <c r="AB6" s="20" t="s">
        <v>61</v>
      </c>
    </row>
    <row r="7" spans="1:29" x14ac:dyDescent="0.2">
      <c r="A7" s="19" t="s">
        <v>250</v>
      </c>
      <c r="B7" s="19">
        <v>7</v>
      </c>
      <c r="C7" s="20" t="s">
        <v>50</v>
      </c>
      <c r="D7" s="28">
        <v>160</v>
      </c>
      <c r="E7" s="28" t="s">
        <v>278</v>
      </c>
      <c r="F7" s="19" t="s">
        <v>57</v>
      </c>
      <c r="G7" s="20" t="s">
        <v>62</v>
      </c>
      <c r="H7" s="28" t="s">
        <v>280</v>
      </c>
      <c r="J7" s="20" t="s">
        <v>61</v>
      </c>
      <c r="P7" s="20"/>
      <c r="T7" s="28" t="s">
        <v>281</v>
      </c>
      <c r="V7" s="20" t="s">
        <v>61</v>
      </c>
      <c r="Y7" s="20"/>
      <c r="AB7" s="20"/>
    </row>
    <row r="8" spans="1:29" x14ac:dyDescent="0.2">
      <c r="A8" s="19" t="s">
        <v>250</v>
      </c>
      <c r="B8" s="19">
        <v>7</v>
      </c>
      <c r="C8" s="20" t="s">
        <v>50</v>
      </c>
      <c r="D8" s="28">
        <v>160</v>
      </c>
      <c r="E8" s="28" t="s">
        <v>279</v>
      </c>
      <c r="F8" s="19" t="s">
        <v>57</v>
      </c>
      <c r="G8" s="20" t="s">
        <v>62</v>
      </c>
      <c r="J8" s="20"/>
      <c r="P8" s="20"/>
      <c r="V8" s="20"/>
      <c r="Y8" s="20"/>
      <c r="AB8" s="20"/>
    </row>
    <row r="9" spans="1:29" x14ac:dyDescent="0.2">
      <c r="A9" s="19" t="s">
        <v>250</v>
      </c>
      <c r="B9" s="19">
        <v>8</v>
      </c>
      <c r="C9" s="20" t="s">
        <v>50</v>
      </c>
      <c r="D9" s="28">
        <v>160</v>
      </c>
      <c r="G9" s="20"/>
      <c r="J9" s="20"/>
      <c r="P9" s="20"/>
      <c r="V9" s="20"/>
      <c r="Y9" s="20"/>
      <c r="Z9" s="38" t="s">
        <v>282</v>
      </c>
      <c r="AA9" s="19" t="s">
        <v>57</v>
      </c>
      <c r="AB9" s="20" t="s">
        <v>61</v>
      </c>
    </row>
    <row r="10" spans="1:29" x14ac:dyDescent="0.2">
      <c r="A10" s="19" t="s">
        <v>250</v>
      </c>
      <c r="B10" s="19">
        <v>9</v>
      </c>
      <c r="C10" s="20" t="s">
        <v>50</v>
      </c>
      <c r="D10" s="28">
        <v>140</v>
      </c>
      <c r="G10" s="20"/>
      <c r="H10" s="28" t="s">
        <v>283</v>
      </c>
      <c r="J10" s="20" t="s">
        <v>61</v>
      </c>
      <c r="P10" s="20"/>
      <c r="T10" s="28" t="s">
        <v>284</v>
      </c>
      <c r="V10" s="20" t="s">
        <v>61</v>
      </c>
      <c r="Y10" s="20"/>
      <c r="AB10" s="20"/>
    </row>
    <row r="11" spans="1:29" x14ac:dyDescent="0.2">
      <c r="A11" s="19" t="s">
        <v>250</v>
      </c>
      <c r="B11" s="19">
        <v>11</v>
      </c>
      <c r="C11" s="20" t="s">
        <v>50</v>
      </c>
      <c r="D11" s="28">
        <v>120</v>
      </c>
      <c r="E11" s="28" t="s">
        <v>285</v>
      </c>
      <c r="F11" s="19" t="s">
        <v>57</v>
      </c>
      <c r="G11" s="20" t="s">
        <v>62</v>
      </c>
      <c r="H11" s="28" t="s">
        <v>287</v>
      </c>
      <c r="J11" s="20" t="s">
        <v>61</v>
      </c>
      <c r="P11" s="20"/>
      <c r="T11" s="28" t="s">
        <v>288</v>
      </c>
      <c r="V11" s="20" t="s">
        <v>61</v>
      </c>
      <c r="W11" s="28" t="s">
        <v>289</v>
      </c>
      <c r="Y11" s="20" t="s">
        <v>61</v>
      </c>
      <c r="Z11" s="38" t="s">
        <v>290</v>
      </c>
      <c r="AA11" s="19" t="s">
        <v>57</v>
      </c>
      <c r="AB11" s="20" t="s">
        <v>61</v>
      </c>
    </row>
    <row r="12" spans="1:29" x14ac:dyDescent="0.2">
      <c r="A12" s="19" t="s">
        <v>250</v>
      </c>
      <c r="B12" s="19">
        <v>11</v>
      </c>
      <c r="C12" s="20" t="s">
        <v>50</v>
      </c>
      <c r="D12" s="28">
        <v>120</v>
      </c>
      <c r="E12" s="28" t="s">
        <v>286</v>
      </c>
      <c r="F12" s="19" t="s">
        <v>57</v>
      </c>
      <c r="G12" s="20" t="s">
        <v>62</v>
      </c>
      <c r="J12" s="20"/>
      <c r="P12" s="20"/>
      <c r="V12" s="20"/>
      <c r="Y12" s="20"/>
      <c r="AB12" s="20"/>
    </row>
    <row r="13" spans="1:29" x14ac:dyDescent="0.2">
      <c r="A13" s="19" t="s">
        <v>250</v>
      </c>
      <c r="B13" s="19">
        <v>13</v>
      </c>
      <c r="C13" s="20" t="s">
        <v>50</v>
      </c>
      <c r="D13" s="28">
        <v>100</v>
      </c>
      <c r="G13" s="20"/>
      <c r="H13" s="28" t="s">
        <v>291</v>
      </c>
      <c r="J13" s="20" t="s">
        <v>61</v>
      </c>
      <c r="P13" s="20"/>
      <c r="T13" s="28" t="s">
        <v>292</v>
      </c>
      <c r="V13" s="20"/>
      <c r="Y13" s="20"/>
      <c r="AB13" s="20"/>
    </row>
    <row r="14" spans="1:29" x14ac:dyDescent="0.2">
      <c r="A14" s="19" t="s">
        <v>250</v>
      </c>
      <c r="B14" s="19">
        <v>14</v>
      </c>
      <c r="C14" s="20" t="s">
        <v>50</v>
      </c>
      <c r="D14" s="28">
        <v>100</v>
      </c>
      <c r="E14" s="28" t="s">
        <v>293</v>
      </c>
      <c r="F14" s="19" t="s">
        <v>57</v>
      </c>
      <c r="G14" s="20" t="s">
        <v>62</v>
      </c>
      <c r="J14" s="20"/>
      <c r="P14" s="20"/>
      <c r="V14" s="20"/>
      <c r="Y14" s="20"/>
      <c r="AB14" s="20"/>
    </row>
    <row r="15" spans="1:29" x14ac:dyDescent="0.2">
      <c r="A15" s="19" t="s">
        <v>250</v>
      </c>
      <c r="B15" s="19">
        <v>14</v>
      </c>
      <c r="C15" s="20" t="s">
        <v>50</v>
      </c>
      <c r="D15" s="28">
        <v>100</v>
      </c>
      <c r="E15" s="28" t="s">
        <v>294</v>
      </c>
      <c r="F15" s="19" t="s">
        <v>57</v>
      </c>
      <c r="G15" s="20"/>
      <c r="J15" s="20"/>
      <c r="P15" s="20"/>
      <c r="V15" s="20"/>
      <c r="Y15" s="20"/>
      <c r="AB15" s="20"/>
    </row>
    <row r="16" spans="1:29" x14ac:dyDescent="0.2">
      <c r="A16" s="19" t="s">
        <v>250</v>
      </c>
      <c r="B16" s="19">
        <v>15</v>
      </c>
      <c r="C16" s="20" t="s">
        <v>50</v>
      </c>
      <c r="D16" s="28">
        <v>80</v>
      </c>
      <c r="G16" s="20"/>
      <c r="H16" s="28" t="s">
        <v>295</v>
      </c>
      <c r="J16" s="20" t="s">
        <v>61</v>
      </c>
      <c r="P16" s="20"/>
      <c r="T16" s="28" t="s">
        <v>296</v>
      </c>
      <c r="V16" s="20" t="s">
        <v>61</v>
      </c>
      <c r="W16" s="28" t="s">
        <v>297</v>
      </c>
      <c r="Y16" s="20" t="s">
        <v>61</v>
      </c>
      <c r="AB16" s="20"/>
    </row>
    <row r="17" spans="1:29" x14ac:dyDescent="0.2">
      <c r="A17" s="19" t="s">
        <v>250</v>
      </c>
      <c r="B17" s="19">
        <v>16</v>
      </c>
      <c r="C17" s="20" t="s">
        <v>50</v>
      </c>
      <c r="D17" s="28">
        <v>80</v>
      </c>
      <c r="E17" s="28" t="s">
        <v>298</v>
      </c>
      <c r="F17" s="19" t="s">
        <v>57</v>
      </c>
      <c r="G17" s="20" t="s">
        <v>62</v>
      </c>
      <c r="J17" s="20"/>
      <c r="P17" s="20"/>
      <c r="V17" s="20"/>
      <c r="Y17" s="20"/>
      <c r="Z17" s="38" t="s">
        <v>300</v>
      </c>
      <c r="AA17" s="19" t="s">
        <v>57</v>
      </c>
      <c r="AB17" s="20" t="s">
        <v>61</v>
      </c>
    </row>
    <row r="18" spans="1:29" x14ac:dyDescent="0.2">
      <c r="A18" s="19" t="s">
        <v>250</v>
      </c>
      <c r="B18" s="19">
        <v>16</v>
      </c>
      <c r="C18" s="20" t="s">
        <v>50</v>
      </c>
      <c r="D18" s="28">
        <v>80</v>
      </c>
      <c r="E18" s="28" t="s">
        <v>299</v>
      </c>
      <c r="F18" s="19" t="s">
        <v>57</v>
      </c>
      <c r="G18" s="20"/>
      <c r="J18" s="20"/>
      <c r="P18" s="20"/>
      <c r="V18" s="20"/>
      <c r="Y18" s="20"/>
      <c r="AB18" s="20"/>
    </row>
    <row r="19" spans="1:29" x14ac:dyDescent="0.2">
      <c r="A19" s="19" t="s">
        <v>250</v>
      </c>
      <c r="B19" s="19">
        <v>17</v>
      </c>
      <c r="C19" s="20" t="s">
        <v>50</v>
      </c>
      <c r="D19" s="28">
        <v>60</v>
      </c>
      <c r="G19" s="20"/>
      <c r="H19" s="28" t="s">
        <v>301</v>
      </c>
      <c r="J19" s="20" t="s">
        <v>61</v>
      </c>
      <c r="P19" s="20"/>
      <c r="T19" s="28" t="s">
        <v>302</v>
      </c>
      <c r="V19" s="20" t="s">
        <v>61</v>
      </c>
      <c r="Y19" s="20"/>
      <c r="AB19" s="20"/>
    </row>
    <row r="20" spans="1:29" x14ac:dyDescent="0.2">
      <c r="A20" s="19" t="s">
        <v>250</v>
      </c>
      <c r="B20" s="19">
        <v>18</v>
      </c>
      <c r="C20" s="20" t="s">
        <v>50</v>
      </c>
      <c r="D20" s="28">
        <v>60</v>
      </c>
      <c r="E20" s="28" t="s">
        <v>303</v>
      </c>
      <c r="F20" s="19" t="s">
        <v>57</v>
      </c>
      <c r="G20" s="20" t="s">
        <v>62</v>
      </c>
      <c r="J20" s="20"/>
      <c r="P20" s="20"/>
      <c r="V20" s="20"/>
      <c r="Y20" s="20"/>
      <c r="Z20" s="38" t="s">
        <v>305</v>
      </c>
      <c r="AA20" s="19" t="s">
        <v>57</v>
      </c>
      <c r="AB20" s="20" t="s">
        <v>61</v>
      </c>
    </row>
    <row r="21" spans="1:29" x14ac:dyDescent="0.2">
      <c r="A21" s="19" t="s">
        <v>250</v>
      </c>
      <c r="B21" s="19">
        <v>18</v>
      </c>
      <c r="C21" s="20" t="s">
        <v>50</v>
      </c>
      <c r="D21" s="28">
        <v>60</v>
      </c>
      <c r="E21" s="28" t="s">
        <v>304</v>
      </c>
      <c r="F21" s="19" t="s">
        <v>57</v>
      </c>
      <c r="G21" s="20" t="s">
        <v>62</v>
      </c>
      <c r="J21" s="20"/>
      <c r="P21" s="20"/>
      <c r="V21" s="20"/>
      <c r="Y21" s="20"/>
      <c r="AB21" s="20"/>
    </row>
    <row r="22" spans="1:29" x14ac:dyDescent="0.2">
      <c r="A22" s="19" t="s">
        <v>250</v>
      </c>
      <c r="B22" s="19">
        <v>19</v>
      </c>
      <c r="C22" s="20" t="s">
        <v>50</v>
      </c>
      <c r="D22" s="28">
        <v>40</v>
      </c>
      <c r="G22" s="20"/>
      <c r="H22" s="28" t="s">
        <v>306</v>
      </c>
      <c r="J22" s="20" t="s">
        <v>61</v>
      </c>
      <c r="P22" s="20"/>
      <c r="T22" s="28" t="s">
        <v>307</v>
      </c>
      <c r="V22" s="20" t="s">
        <v>61</v>
      </c>
      <c r="W22" s="28" t="s">
        <v>308</v>
      </c>
      <c r="Y22" s="20" t="s">
        <v>61</v>
      </c>
      <c r="AB22" s="20"/>
    </row>
    <row r="23" spans="1:29" x14ac:dyDescent="0.2">
      <c r="A23" s="19" t="s">
        <v>250</v>
      </c>
      <c r="B23" s="19">
        <v>20</v>
      </c>
      <c r="C23" s="20" t="s">
        <v>50</v>
      </c>
      <c r="D23" s="28">
        <v>40</v>
      </c>
      <c r="G23" s="20"/>
      <c r="J23" s="20"/>
      <c r="P23" s="20"/>
      <c r="V23" s="20"/>
      <c r="Y23" s="20"/>
      <c r="Z23" s="38" t="s">
        <v>309</v>
      </c>
      <c r="AA23" s="19" t="s">
        <v>57</v>
      </c>
      <c r="AB23" s="20" t="s">
        <v>61</v>
      </c>
    </row>
    <row r="24" spans="1:29" x14ac:dyDescent="0.2">
      <c r="A24" s="19" t="s">
        <v>250</v>
      </c>
      <c r="B24" s="19">
        <v>21</v>
      </c>
      <c r="C24" s="20" t="s">
        <v>51</v>
      </c>
      <c r="D24" s="28">
        <v>20</v>
      </c>
      <c r="E24" s="28" t="s">
        <v>310</v>
      </c>
      <c r="F24" s="19" t="s">
        <v>57</v>
      </c>
      <c r="G24" s="20" t="s">
        <v>62</v>
      </c>
      <c r="H24" s="28" t="s">
        <v>312</v>
      </c>
      <c r="J24" s="20" t="s">
        <v>61</v>
      </c>
      <c r="P24" s="20"/>
      <c r="T24" s="28" t="s">
        <v>313</v>
      </c>
      <c r="V24" s="20" t="s">
        <v>61</v>
      </c>
      <c r="Y24" s="20"/>
      <c r="AB24" s="20"/>
    </row>
    <row r="25" spans="1:29" x14ac:dyDescent="0.2">
      <c r="A25" s="19" t="s">
        <v>250</v>
      </c>
      <c r="B25" s="19">
        <v>21</v>
      </c>
      <c r="C25" s="20" t="s">
        <v>51</v>
      </c>
      <c r="D25" s="28">
        <v>20</v>
      </c>
      <c r="E25" s="28" t="s">
        <v>311</v>
      </c>
      <c r="F25" s="19" t="s">
        <v>57</v>
      </c>
      <c r="G25" s="20" t="s">
        <v>62</v>
      </c>
      <c r="J25" s="20"/>
      <c r="P25" s="20"/>
      <c r="V25" s="20"/>
      <c r="Y25" s="20"/>
      <c r="AB25" s="20"/>
    </row>
    <row r="26" spans="1:29" x14ac:dyDescent="0.2">
      <c r="A26" s="19" t="s">
        <v>250</v>
      </c>
      <c r="B26" s="19">
        <v>22</v>
      </c>
      <c r="C26" s="20" t="s">
        <v>50</v>
      </c>
      <c r="D26" s="28">
        <v>20</v>
      </c>
      <c r="G26" s="20"/>
      <c r="J26" s="20"/>
      <c r="P26" s="20"/>
      <c r="V26" s="20"/>
      <c r="Y26" s="20"/>
      <c r="Z26" s="38" t="s">
        <v>314</v>
      </c>
      <c r="AA26" s="19" t="s">
        <v>57</v>
      </c>
      <c r="AB26" s="20" t="s">
        <v>61</v>
      </c>
    </row>
    <row r="27" spans="1:29" x14ac:dyDescent="0.2">
      <c r="A27" s="19" t="s">
        <v>250</v>
      </c>
      <c r="B27" s="19">
        <v>23</v>
      </c>
      <c r="C27" s="20" t="s">
        <v>50</v>
      </c>
      <c r="D27" s="28">
        <v>10</v>
      </c>
      <c r="E27" s="28" t="s">
        <v>315</v>
      </c>
      <c r="F27" s="19" t="s">
        <v>57</v>
      </c>
      <c r="G27" s="20" t="s">
        <v>62</v>
      </c>
      <c r="H27" s="28" t="s">
        <v>317</v>
      </c>
      <c r="J27" s="20" t="s">
        <v>61</v>
      </c>
      <c r="P27" s="20"/>
      <c r="T27" s="28" t="s">
        <v>318</v>
      </c>
      <c r="V27" s="20" t="s">
        <v>61</v>
      </c>
      <c r="W27" s="28" t="s">
        <v>319</v>
      </c>
      <c r="Y27" s="20" t="s">
        <v>61</v>
      </c>
      <c r="AB27" s="20"/>
    </row>
    <row r="28" spans="1:29" x14ac:dyDescent="0.2">
      <c r="A28" s="19" t="s">
        <v>250</v>
      </c>
      <c r="B28" s="19">
        <v>23</v>
      </c>
      <c r="C28" s="20" t="s">
        <v>50</v>
      </c>
      <c r="D28" s="28">
        <v>10</v>
      </c>
      <c r="E28" s="28" t="s">
        <v>316</v>
      </c>
      <c r="F28" s="19" t="s">
        <v>57</v>
      </c>
      <c r="G28" s="20" t="s">
        <v>62</v>
      </c>
      <c r="J28" s="20"/>
      <c r="P28" s="20"/>
      <c r="V28" s="20"/>
      <c r="Y28" s="20"/>
      <c r="AB28" s="20"/>
    </row>
    <row r="29" spans="1:29" x14ac:dyDescent="0.2">
      <c r="A29" s="19" t="s">
        <v>250</v>
      </c>
      <c r="B29" s="19">
        <v>24</v>
      </c>
      <c r="C29" s="20" t="s">
        <v>50</v>
      </c>
      <c r="D29" s="28">
        <v>10</v>
      </c>
      <c r="G29" s="20"/>
      <c r="J29" s="20"/>
      <c r="P29" s="20"/>
      <c r="V29" s="20"/>
      <c r="Y29" s="20"/>
      <c r="Z29" s="38" t="s">
        <v>320</v>
      </c>
      <c r="AA29" s="19" t="s">
        <v>57</v>
      </c>
      <c r="AB29" s="20" t="s">
        <v>61</v>
      </c>
    </row>
    <row r="30" spans="1:29" x14ac:dyDescent="0.2">
      <c r="A30" s="19" t="s">
        <v>253</v>
      </c>
      <c r="B30" s="19" t="s">
        <v>101</v>
      </c>
      <c r="C30" s="20" t="s">
        <v>50</v>
      </c>
      <c r="D30" s="28">
        <v>197</v>
      </c>
      <c r="E30" s="28" t="s">
        <v>321</v>
      </c>
      <c r="F30" s="19" t="s">
        <v>57</v>
      </c>
      <c r="G30" s="20" t="s">
        <v>62</v>
      </c>
      <c r="H30" s="28" t="s">
        <v>323</v>
      </c>
      <c r="J30" s="20" t="s">
        <v>61</v>
      </c>
      <c r="P30" s="20"/>
      <c r="T30" s="28" t="s">
        <v>324</v>
      </c>
      <c r="V30" s="20" t="s">
        <v>61</v>
      </c>
      <c r="W30" s="28" t="s">
        <v>325</v>
      </c>
      <c r="Y30" s="20" t="s">
        <v>61</v>
      </c>
      <c r="Z30" s="38" t="s">
        <v>326</v>
      </c>
      <c r="AA30" s="19" t="s">
        <v>57</v>
      </c>
      <c r="AB30" s="20" t="s">
        <v>61</v>
      </c>
    </row>
    <row r="31" spans="1:29" x14ac:dyDescent="0.2">
      <c r="A31" s="19" t="s">
        <v>253</v>
      </c>
      <c r="B31" s="19" t="s">
        <v>101</v>
      </c>
      <c r="C31" s="20" t="s">
        <v>50</v>
      </c>
      <c r="D31" s="28">
        <v>197</v>
      </c>
      <c r="E31" s="28" t="s">
        <v>322</v>
      </c>
      <c r="F31" s="19" t="s">
        <v>57</v>
      </c>
      <c r="G31" s="20" t="s">
        <v>62</v>
      </c>
      <c r="J31" s="20"/>
      <c r="P31" s="20"/>
      <c r="V31" s="20"/>
      <c r="Y31" s="20"/>
      <c r="AB31" s="20"/>
    </row>
    <row r="32" spans="1:29" x14ac:dyDescent="0.2">
      <c r="A32" s="19" t="s">
        <v>254</v>
      </c>
      <c r="B32" s="19" t="s">
        <v>100</v>
      </c>
      <c r="C32" s="20" t="s">
        <v>50</v>
      </c>
      <c r="D32" s="28">
        <v>197</v>
      </c>
      <c r="E32" s="28" t="s">
        <v>327</v>
      </c>
      <c r="F32" s="19" t="s">
        <v>57</v>
      </c>
      <c r="G32" s="20" t="s">
        <v>62</v>
      </c>
      <c r="H32" s="28" t="s">
        <v>329</v>
      </c>
      <c r="J32" s="20" t="s">
        <v>61</v>
      </c>
      <c r="P32" s="20"/>
      <c r="T32" s="28" t="s">
        <v>330</v>
      </c>
      <c r="V32" s="20" t="s">
        <v>61</v>
      </c>
      <c r="W32" s="28" t="s">
        <v>331</v>
      </c>
      <c r="Y32" s="20" t="s">
        <v>61</v>
      </c>
      <c r="Z32" s="38" t="s">
        <v>332</v>
      </c>
      <c r="AA32" s="19" t="s">
        <v>99</v>
      </c>
      <c r="AB32" s="20" t="s">
        <v>61</v>
      </c>
      <c r="AC32" s="28" t="s">
        <v>664</v>
      </c>
    </row>
    <row r="33" spans="1:29" x14ac:dyDescent="0.2">
      <c r="A33" s="19" t="s">
        <v>254</v>
      </c>
      <c r="B33" s="19" t="s">
        <v>100</v>
      </c>
      <c r="C33" s="20" t="s">
        <v>50</v>
      </c>
      <c r="D33" s="28">
        <v>197</v>
      </c>
      <c r="E33" s="28" t="s">
        <v>328</v>
      </c>
      <c r="F33" s="19" t="s">
        <v>57</v>
      </c>
      <c r="G33" s="20" t="s">
        <v>62</v>
      </c>
      <c r="J33" s="20"/>
      <c r="P33" s="20"/>
      <c r="V33" s="20"/>
      <c r="Y33" s="20"/>
      <c r="AB33" s="20"/>
    </row>
    <row r="34" spans="1:29" x14ac:dyDescent="0.2">
      <c r="A34" s="19" t="s">
        <v>251</v>
      </c>
      <c r="B34" s="19">
        <v>1</v>
      </c>
      <c r="C34" s="20" t="s">
        <v>50</v>
      </c>
      <c r="D34" s="28">
        <v>220</v>
      </c>
      <c r="E34" s="28" t="s">
        <v>333</v>
      </c>
      <c r="F34" s="19" t="s">
        <v>57</v>
      </c>
      <c r="G34" s="20" t="s">
        <v>62</v>
      </c>
      <c r="H34" s="28" t="s">
        <v>335</v>
      </c>
      <c r="J34" s="20" t="s">
        <v>61</v>
      </c>
      <c r="P34" s="20"/>
      <c r="T34" s="28" t="s">
        <v>336</v>
      </c>
      <c r="V34" s="20" t="s">
        <v>61</v>
      </c>
      <c r="Y34" s="20"/>
      <c r="AB34" s="20"/>
    </row>
    <row r="35" spans="1:29" x14ac:dyDescent="0.2">
      <c r="A35" s="19" t="s">
        <v>251</v>
      </c>
      <c r="B35" s="19">
        <v>1</v>
      </c>
      <c r="C35" s="20" t="s">
        <v>50</v>
      </c>
      <c r="D35" s="28">
        <v>220</v>
      </c>
      <c r="E35" s="28" t="s">
        <v>334</v>
      </c>
      <c r="F35" s="19" t="s">
        <v>57</v>
      </c>
      <c r="G35" s="20" t="s">
        <v>62</v>
      </c>
      <c r="J35" s="20"/>
      <c r="P35" s="20"/>
      <c r="V35" s="20"/>
      <c r="Y35" s="20"/>
      <c r="AB35" s="20"/>
    </row>
    <row r="36" spans="1:29" x14ac:dyDescent="0.2">
      <c r="A36" s="19" t="s">
        <v>251</v>
      </c>
      <c r="B36" s="19">
        <v>3</v>
      </c>
      <c r="C36" s="20" t="s">
        <v>50</v>
      </c>
      <c r="D36" s="28">
        <v>200</v>
      </c>
      <c r="G36" s="20"/>
      <c r="H36" s="28" t="s">
        <v>337</v>
      </c>
      <c r="J36" s="20" t="s">
        <v>61</v>
      </c>
      <c r="P36" s="20"/>
      <c r="T36" s="28" t="s">
        <v>338</v>
      </c>
      <c r="V36" s="20" t="s">
        <v>61</v>
      </c>
      <c r="W36" s="28" t="s">
        <v>339</v>
      </c>
      <c r="Y36" s="20" t="s">
        <v>61</v>
      </c>
      <c r="AB36" s="20"/>
    </row>
    <row r="37" spans="1:29" x14ac:dyDescent="0.2">
      <c r="A37" s="19" t="s">
        <v>251</v>
      </c>
      <c r="B37" s="19">
        <v>5</v>
      </c>
      <c r="C37" s="20" t="s">
        <v>50</v>
      </c>
      <c r="D37" s="28">
        <v>180</v>
      </c>
      <c r="G37" s="20"/>
      <c r="H37" s="28" t="s">
        <v>340</v>
      </c>
      <c r="J37" s="20" t="s">
        <v>61</v>
      </c>
      <c r="P37" s="20"/>
      <c r="T37" s="28" t="s">
        <v>341</v>
      </c>
      <c r="V37" s="20" t="s">
        <v>61</v>
      </c>
      <c r="Y37" s="20"/>
      <c r="AB37" s="20"/>
    </row>
    <row r="38" spans="1:29" x14ac:dyDescent="0.2">
      <c r="A38" s="19" t="s">
        <v>251</v>
      </c>
      <c r="B38" s="19">
        <v>6</v>
      </c>
      <c r="C38" s="20" t="s">
        <v>50</v>
      </c>
      <c r="D38" s="28">
        <v>180</v>
      </c>
      <c r="G38" s="20"/>
      <c r="J38" s="20"/>
      <c r="P38" s="20"/>
      <c r="V38" s="20"/>
      <c r="Y38" s="20"/>
      <c r="Z38" s="38" t="s">
        <v>346</v>
      </c>
      <c r="AA38" s="19" t="s">
        <v>57</v>
      </c>
      <c r="AB38" s="20" t="s">
        <v>61</v>
      </c>
    </row>
    <row r="39" spans="1:29" x14ac:dyDescent="0.2">
      <c r="A39" s="19" t="s">
        <v>251</v>
      </c>
      <c r="B39" s="19">
        <v>7</v>
      </c>
      <c r="C39" s="20" t="s">
        <v>50</v>
      </c>
      <c r="D39" s="28">
        <v>160</v>
      </c>
      <c r="E39" s="28" t="s">
        <v>342</v>
      </c>
      <c r="F39" s="19" t="s">
        <v>21</v>
      </c>
      <c r="G39" s="20" t="s">
        <v>62</v>
      </c>
      <c r="H39" s="28" t="s">
        <v>344</v>
      </c>
      <c r="J39" s="20" t="s">
        <v>61</v>
      </c>
      <c r="P39" s="20"/>
      <c r="T39" s="28" t="s">
        <v>345</v>
      </c>
      <c r="V39" s="20" t="s">
        <v>61</v>
      </c>
      <c r="Y39" s="20"/>
      <c r="AB39" s="20"/>
      <c r="AC39" s="28" t="s">
        <v>659</v>
      </c>
    </row>
    <row r="40" spans="1:29" x14ac:dyDescent="0.2">
      <c r="A40" s="19" t="s">
        <v>251</v>
      </c>
      <c r="B40" s="19">
        <v>7</v>
      </c>
      <c r="C40" s="20" t="s">
        <v>50</v>
      </c>
      <c r="D40" s="28">
        <v>160</v>
      </c>
      <c r="E40" s="28" t="s">
        <v>343</v>
      </c>
      <c r="F40" s="19" t="s">
        <v>57</v>
      </c>
      <c r="G40" s="20" t="s">
        <v>62</v>
      </c>
      <c r="J40" s="20"/>
      <c r="P40" s="20"/>
      <c r="V40" s="20"/>
      <c r="Y40" s="20"/>
      <c r="AB40" s="20"/>
    </row>
    <row r="41" spans="1:29" x14ac:dyDescent="0.2">
      <c r="A41" s="19" t="s">
        <v>251</v>
      </c>
      <c r="B41" s="19">
        <v>8</v>
      </c>
      <c r="C41" s="20" t="s">
        <v>50</v>
      </c>
      <c r="D41" s="28">
        <v>160</v>
      </c>
      <c r="G41" s="20"/>
      <c r="J41" s="20"/>
      <c r="P41" s="20"/>
      <c r="V41" s="20"/>
      <c r="Y41" s="20"/>
      <c r="Z41" s="38" t="s">
        <v>347</v>
      </c>
      <c r="AA41" s="19" t="s">
        <v>57</v>
      </c>
      <c r="AB41" s="20" t="s">
        <v>61</v>
      </c>
    </row>
    <row r="42" spans="1:29" x14ac:dyDescent="0.2">
      <c r="A42" s="19" t="s">
        <v>251</v>
      </c>
      <c r="B42" s="19">
        <v>9</v>
      </c>
      <c r="C42" s="20" t="s">
        <v>50</v>
      </c>
      <c r="D42" s="28">
        <v>140</v>
      </c>
      <c r="G42" s="20"/>
      <c r="H42" s="28" t="s">
        <v>348</v>
      </c>
      <c r="J42" s="20" t="s">
        <v>61</v>
      </c>
      <c r="P42" s="20"/>
      <c r="T42" s="28" t="s">
        <v>349</v>
      </c>
      <c r="V42" s="20" t="s">
        <v>61</v>
      </c>
      <c r="Y42" s="20"/>
      <c r="AB42" s="20"/>
    </row>
    <row r="43" spans="1:29" x14ac:dyDescent="0.2">
      <c r="A43" s="19" t="s">
        <v>251</v>
      </c>
      <c r="B43" s="19">
        <v>11</v>
      </c>
      <c r="C43" s="20" t="s">
        <v>50</v>
      </c>
      <c r="D43" s="28">
        <v>120</v>
      </c>
      <c r="E43" s="28" t="s">
        <v>350</v>
      </c>
      <c r="F43" s="19" t="s">
        <v>57</v>
      </c>
      <c r="G43" s="20" t="s">
        <v>62</v>
      </c>
      <c r="H43" s="28" t="s">
        <v>352</v>
      </c>
      <c r="J43" s="20" t="s">
        <v>61</v>
      </c>
      <c r="P43" s="20"/>
      <c r="T43" s="28" t="s">
        <v>353</v>
      </c>
      <c r="V43" s="20" t="s">
        <v>61</v>
      </c>
      <c r="W43" s="28" t="s">
        <v>354</v>
      </c>
      <c r="Y43" s="20" t="s">
        <v>61</v>
      </c>
      <c r="Z43" s="38" t="s">
        <v>355</v>
      </c>
      <c r="AA43" s="19" t="s">
        <v>57</v>
      </c>
      <c r="AB43" s="20" t="s">
        <v>61</v>
      </c>
    </row>
    <row r="44" spans="1:29" x14ac:dyDescent="0.2">
      <c r="A44" s="19" t="s">
        <v>251</v>
      </c>
      <c r="B44" s="19">
        <v>11</v>
      </c>
      <c r="C44" s="20" t="s">
        <v>50</v>
      </c>
      <c r="D44" s="28">
        <v>120</v>
      </c>
      <c r="E44" s="28" t="s">
        <v>351</v>
      </c>
      <c r="F44" s="19" t="s">
        <v>57</v>
      </c>
      <c r="G44" s="20" t="s">
        <v>62</v>
      </c>
      <c r="J44" s="20"/>
      <c r="P44" s="20"/>
      <c r="V44" s="20"/>
      <c r="Y44" s="20"/>
      <c r="AB44" s="20"/>
    </row>
    <row r="45" spans="1:29" x14ac:dyDescent="0.2">
      <c r="A45" s="19" t="s">
        <v>251</v>
      </c>
      <c r="B45" s="19">
        <v>13</v>
      </c>
      <c r="C45" s="20" t="s">
        <v>50</v>
      </c>
      <c r="D45" s="28">
        <v>100</v>
      </c>
      <c r="G45" s="20"/>
      <c r="H45" s="28" t="s">
        <v>356</v>
      </c>
      <c r="J45" s="20" t="s">
        <v>61</v>
      </c>
      <c r="P45" s="20"/>
      <c r="T45" s="28" t="s">
        <v>357</v>
      </c>
      <c r="V45" s="20"/>
      <c r="Y45" s="20"/>
      <c r="AB45" s="20"/>
    </row>
    <row r="46" spans="1:29" x14ac:dyDescent="0.2">
      <c r="A46" s="19" t="s">
        <v>251</v>
      </c>
      <c r="B46" s="19">
        <v>14</v>
      </c>
      <c r="C46" s="20" t="s">
        <v>50</v>
      </c>
      <c r="D46" s="28">
        <v>100</v>
      </c>
      <c r="E46" s="28" t="s">
        <v>358</v>
      </c>
      <c r="F46" s="19" t="s">
        <v>57</v>
      </c>
      <c r="G46" s="20" t="s">
        <v>62</v>
      </c>
      <c r="J46" s="20"/>
      <c r="P46" s="20"/>
      <c r="V46" s="20"/>
      <c r="Y46" s="20"/>
      <c r="AB46" s="20"/>
    </row>
    <row r="47" spans="1:29" x14ac:dyDescent="0.2">
      <c r="A47" s="19" t="s">
        <v>251</v>
      </c>
      <c r="B47" s="19">
        <v>14</v>
      </c>
      <c r="C47" s="20" t="s">
        <v>50</v>
      </c>
      <c r="D47" s="28">
        <v>100</v>
      </c>
      <c r="E47" s="28" t="s">
        <v>359</v>
      </c>
      <c r="F47" s="19" t="s">
        <v>57</v>
      </c>
      <c r="G47" s="20" t="s">
        <v>62</v>
      </c>
      <c r="J47" s="20"/>
      <c r="P47" s="20"/>
      <c r="V47" s="20"/>
      <c r="Y47" s="20"/>
      <c r="AB47" s="20"/>
    </row>
    <row r="48" spans="1:29" x14ac:dyDescent="0.2">
      <c r="A48" s="19" t="s">
        <v>251</v>
      </c>
      <c r="B48" s="19">
        <v>15</v>
      </c>
      <c r="C48" s="20" t="s">
        <v>50</v>
      </c>
      <c r="D48" s="28">
        <v>80</v>
      </c>
      <c r="G48" s="20"/>
      <c r="H48" s="28" t="s">
        <v>360</v>
      </c>
      <c r="J48" s="20" t="s">
        <v>61</v>
      </c>
      <c r="P48" s="20"/>
      <c r="T48" s="28" t="s">
        <v>361</v>
      </c>
      <c r="V48" s="20" t="s">
        <v>61</v>
      </c>
      <c r="W48" s="28" t="s">
        <v>362</v>
      </c>
      <c r="Y48" s="20" t="s">
        <v>61</v>
      </c>
      <c r="AB48" s="20"/>
    </row>
    <row r="49" spans="1:29" x14ac:dyDescent="0.2">
      <c r="A49" s="19" t="s">
        <v>251</v>
      </c>
      <c r="B49" s="19">
        <v>16</v>
      </c>
      <c r="C49" s="20" t="s">
        <v>50</v>
      </c>
      <c r="D49" s="28">
        <v>80</v>
      </c>
      <c r="E49" s="28" t="s">
        <v>363</v>
      </c>
      <c r="F49" s="19" t="s">
        <v>57</v>
      </c>
      <c r="G49" s="20" t="s">
        <v>62</v>
      </c>
      <c r="J49" s="20"/>
      <c r="P49" s="20"/>
      <c r="V49" s="20"/>
      <c r="Y49" s="20"/>
      <c r="AB49" s="20"/>
    </row>
    <row r="50" spans="1:29" x14ac:dyDescent="0.2">
      <c r="A50" s="19" t="s">
        <v>251</v>
      </c>
      <c r="B50" s="19">
        <v>16</v>
      </c>
      <c r="C50" s="20" t="s">
        <v>50</v>
      </c>
      <c r="D50" s="28">
        <v>80</v>
      </c>
      <c r="E50" s="28" t="s">
        <v>364</v>
      </c>
      <c r="F50" s="19" t="s">
        <v>57</v>
      </c>
      <c r="G50" s="20" t="s">
        <v>62</v>
      </c>
      <c r="J50" s="20"/>
      <c r="P50" s="20"/>
      <c r="V50" s="20"/>
      <c r="Y50" s="20"/>
      <c r="Z50" s="38" t="s">
        <v>365</v>
      </c>
      <c r="AA50" s="19" t="s">
        <v>57</v>
      </c>
      <c r="AB50" s="20" t="s">
        <v>61</v>
      </c>
    </row>
    <row r="51" spans="1:29" x14ac:dyDescent="0.2">
      <c r="A51" s="19" t="s">
        <v>251</v>
      </c>
      <c r="B51" s="19">
        <v>17</v>
      </c>
      <c r="C51" s="20" t="s">
        <v>50</v>
      </c>
      <c r="D51" s="28">
        <v>60</v>
      </c>
      <c r="G51" s="20"/>
      <c r="H51" s="28" t="s">
        <v>366</v>
      </c>
      <c r="J51" s="20" t="s">
        <v>61</v>
      </c>
      <c r="T51" s="28" t="s">
        <v>367</v>
      </c>
      <c r="V51" s="20" t="s">
        <v>61</v>
      </c>
      <c r="Y51" s="20"/>
      <c r="AB51" s="20"/>
    </row>
    <row r="52" spans="1:29" x14ac:dyDescent="0.2">
      <c r="A52" s="19" t="s">
        <v>251</v>
      </c>
      <c r="B52" s="19">
        <v>18</v>
      </c>
      <c r="C52" s="20" t="s">
        <v>50</v>
      </c>
      <c r="D52" s="28">
        <v>60</v>
      </c>
      <c r="E52" s="28" t="s">
        <v>368</v>
      </c>
      <c r="F52" s="19" t="s">
        <v>57</v>
      </c>
      <c r="G52" s="20" t="s">
        <v>62</v>
      </c>
      <c r="J52" s="20"/>
      <c r="V52" s="20"/>
      <c r="Y52" s="20"/>
      <c r="Z52" s="38" t="s">
        <v>370</v>
      </c>
      <c r="AA52" s="19" t="s">
        <v>57</v>
      </c>
      <c r="AB52" s="20" t="s">
        <v>61</v>
      </c>
    </row>
    <row r="53" spans="1:29" x14ac:dyDescent="0.2">
      <c r="A53" s="19" t="s">
        <v>251</v>
      </c>
      <c r="B53" s="19">
        <v>18</v>
      </c>
      <c r="C53" s="20" t="s">
        <v>50</v>
      </c>
      <c r="D53" s="28">
        <v>60</v>
      </c>
      <c r="E53" s="28" t="s">
        <v>369</v>
      </c>
      <c r="F53" s="19" t="s">
        <v>57</v>
      </c>
      <c r="G53" s="20" t="s">
        <v>62</v>
      </c>
      <c r="J53" s="20"/>
      <c r="V53" s="20"/>
      <c r="Y53" s="20"/>
      <c r="AB53" s="20"/>
    </row>
    <row r="54" spans="1:29" x14ac:dyDescent="0.2">
      <c r="A54" s="19" t="s">
        <v>251</v>
      </c>
      <c r="B54" s="19">
        <v>19</v>
      </c>
      <c r="C54" s="20" t="s">
        <v>50</v>
      </c>
      <c r="D54" s="28">
        <v>40</v>
      </c>
      <c r="G54" s="20"/>
      <c r="H54" s="28" t="s">
        <v>371</v>
      </c>
      <c r="J54" s="20" t="s">
        <v>61</v>
      </c>
      <c r="T54" s="28" t="s">
        <v>372</v>
      </c>
      <c r="V54" s="20" t="s">
        <v>61</v>
      </c>
      <c r="W54" s="28" t="s">
        <v>373</v>
      </c>
      <c r="Y54" s="20" t="s">
        <v>61</v>
      </c>
      <c r="AB54" s="20"/>
    </row>
    <row r="55" spans="1:29" x14ac:dyDescent="0.2">
      <c r="A55" s="19" t="s">
        <v>251</v>
      </c>
      <c r="B55" s="19">
        <v>20</v>
      </c>
      <c r="C55" s="20" t="s">
        <v>50</v>
      </c>
      <c r="D55" s="28">
        <v>40</v>
      </c>
      <c r="G55" s="20"/>
      <c r="J55" s="20"/>
      <c r="V55" s="20"/>
      <c r="Y55" s="20"/>
      <c r="Z55" s="38" t="s">
        <v>374</v>
      </c>
      <c r="AA55" s="19" t="s">
        <v>57</v>
      </c>
      <c r="AB55" s="20" t="s">
        <v>61</v>
      </c>
    </row>
    <row r="56" spans="1:29" x14ac:dyDescent="0.2">
      <c r="A56" s="19" t="s">
        <v>251</v>
      </c>
      <c r="B56" s="19">
        <v>21</v>
      </c>
      <c r="C56" s="20" t="s">
        <v>50</v>
      </c>
      <c r="D56" s="28">
        <v>20</v>
      </c>
      <c r="E56" s="28" t="s">
        <v>375</v>
      </c>
      <c r="F56" s="19" t="s">
        <v>57</v>
      </c>
      <c r="G56" s="20" t="s">
        <v>62</v>
      </c>
      <c r="H56" s="28" t="s">
        <v>377</v>
      </c>
      <c r="J56" s="20" t="s">
        <v>61</v>
      </c>
      <c r="T56" s="28" t="s">
        <v>378</v>
      </c>
      <c r="V56" s="20" t="s">
        <v>61</v>
      </c>
      <c r="Y56" s="20"/>
      <c r="AB56" s="20"/>
    </row>
    <row r="57" spans="1:29" x14ac:dyDescent="0.2">
      <c r="A57" s="19" t="s">
        <v>251</v>
      </c>
      <c r="B57" s="19">
        <v>21</v>
      </c>
      <c r="C57" s="20" t="s">
        <v>50</v>
      </c>
      <c r="D57" s="28">
        <v>20</v>
      </c>
      <c r="E57" s="28" t="s">
        <v>376</v>
      </c>
      <c r="F57" s="19" t="s">
        <v>21</v>
      </c>
      <c r="G57" s="20" t="s">
        <v>62</v>
      </c>
      <c r="J57" s="20"/>
      <c r="V57" s="20"/>
      <c r="Y57" s="20"/>
      <c r="AB57" s="20"/>
      <c r="AC57" s="28" t="s">
        <v>659</v>
      </c>
    </row>
    <row r="58" spans="1:29" x14ac:dyDescent="0.2">
      <c r="A58" s="19" t="s">
        <v>251</v>
      </c>
      <c r="B58" s="19">
        <v>22</v>
      </c>
      <c r="C58" s="20" t="s">
        <v>50</v>
      </c>
      <c r="D58" s="28">
        <v>20</v>
      </c>
      <c r="G58" s="20"/>
      <c r="J58" s="20"/>
      <c r="V58" s="20"/>
      <c r="Y58" s="20"/>
      <c r="Z58" s="38" t="s">
        <v>379</v>
      </c>
      <c r="AA58" s="19" t="s">
        <v>57</v>
      </c>
      <c r="AB58" s="20" t="s">
        <v>61</v>
      </c>
    </row>
    <row r="59" spans="1:29" x14ac:dyDescent="0.2">
      <c r="A59" s="19" t="s">
        <v>251</v>
      </c>
      <c r="B59" s="19">
        <v>23</v>
      </c>
      <c r="C59" s="20" t="s">
        <v>50</v>
      </c>
      <c r="D59" s="28">
        <v>10</v>
      </c>
      <c r="E59" s="28" t="s">
        <v>380</v>
      </c>
      <c r="F59" s="19" t="s">
        <v>57</v>
      </c>
      <c r="G59" s="20" t="s">
        <v>62</v>
      </c>
      <c r="H59" s="28" t="s">
        <v>382</v>
      </c>
      <c r="J59" s="20" t="s">
        <v>61</v>
      </c>
      <c r="T59" s="28" t="s">
        <v>383</v>
      </c>
      <c r="V59" s="20" t="s">
        <v>61</v>
      </c>
      <c r="W59" s="28" t="s">
        <v>384</v>
      </c>
      <c r="Y59" s="20" t="s">
        <v>61</v>
      </c>
      <c r="AB59" s="20"/>
    </row>
    <row r="60" spans="1:29" x14ac:dyDescent="0.2">
      <c r="A60" s="19" t="s">
        <v>251</v>
      </c>
      <c r="B60" s="19">
        <v>23</v>
      </c>
      <c r="C60" s="20" t="s">
        <v>50</v>
      </c>
      <c r="D60" s="28">
        <v>10</v>
      </c>
      <c r="E60" s="28" t="s">
        <v>381</v>
      </c>
      <c r="F60" s="19" t="s">
        <v>57</v>
      </c>
      <c r="G60" s="20" t="s">
        <v>62</v>
      </c>
      <c r="J60" s="20"/>
      <c r="V60" s="20"/>
      <c r="Y60" s="20"/>
      <c r="AB60" s="20"/>
    </row>
    <row r="61" spans="1:29" x14ac:dyDescent="0.2">
      <c r="A61" s="19" t="s">
        <v>251</v>
      </c>
      <c r="B61" s="19">
        <v>24</v>
      </c>
      <c r="C61" s="20" t="s">
        <v>50</v>
      </c>
      <c r="D61" s="28">
        <v>10</v>
      </c>
      <c r="G61" s="20"/>
      <c r="J61" s="20"/>
      <c r="V61" s="20"/>
      <c r="Y61" s="20"/>
      <c r="Z61" s="38" t="s">
        <v>385</v>
      </c>
      <c r="AA61" s="19" t="s">
        <v>57</v>
      </c>
      <c r="AB61" s="20" t="s">
        <v>61</v>
      </c>
    </row>
    <row r="62" spans="1:29" x14ac:dyDescent="0.2">
      <c r="A62" s="19" t="s">
        <v>255</v>
      </c>
      <c r="B62" s="19" t="s">
        <v>100</v>
      </c>
      <c r="C62" s="20" t="s">
        <v>50</v>
      </c>
      <c r="D62" s="28">
        <v>200</v>
      </c>
      <c r="E62" s="28" t="s">
        <v>390</v>
      </c>
      <c r="F62" s="19" t="s">
        <v>57</v>
      </c>
      <c r="G62" s="20" t="s">
        <v>62</v>
      </c>
      <c r="J62" s="20"/>
      <c r="V62" s="20"/>
      <c r="Y62" s="20"/>
      <c r="AB62" s="20"/>
    </row>
    <row r="63" spans="1:29" x14ac:dyDescent="0.2">
      <c r="A63" s="19" t="s">
        <v>255</v>
      </c>
      <c r="B63" s="19" t="s">
        <v>100</v>
      </c>
      <c r="C63" s="20" t="s">
        <v>50</v>
      </c>
      <c r="D63" s="28">
        <v>200</v>
      </c>
      <c r="E63" s="28" t="s">
        <v>386</v>
      </c>
      <c r="F63" s="19" t="s">
        <v>57</v>
      </c>
      <c r="G63" s="20" t="s">
        <v>62</v>
      </c>
      <c r="J63" s="20"/>
      <c r="V63" s="20"/>
      <c r="Y63" s="20"/>
      <c r="AB63" s="20"/>
    </row>
    <row r="64" spans="1:29" x14ac:dyDescent="0.2">
      <c r="A64" s="19" t="s">
        <v>255</v>
      </c>
      <c r="B64" s="19" t="s">
        <v>101</v>
      </c>
      <c r="C64" s="20" t="s">
        <v>50</v>
      </c>
      <c r="D64" s="28">
        <v>200</v>
      </c>
      <c r="G64" s="20"/>
      <c r="H64" s="28" t="s">
        <v>389</v>
      </c>
      <c r="J64" s="20" t="s">
        <v>61</v>
      </c>
      <c r="T64" s="28" t="s">
        <v>388</v>
      </c>
      <c r="V64" s="20" t="s">
        <v>61</v>
      </c>
      <c r="W64" s="28" t="s">
        <v>387</v>
      </c>
      <c r="Y64" s="20" t="s">
        <v>61</v>
      </c>
      <c r="Z64" s="38" t="s">
        <v>391</v>
      </c>
      <c r="AA64" s="19" t="s">
        <v>57</v>
      </c>
      <c r="AB64" s="20" t="s">
        <v>61</v>
      </c>
    </row>
    <row r="65" spans="1:29" x14ac:dyDescent="0.2">
      <c r="A65" s="19" t="s">
        <v>257</v>
      </c>
      <c r="B65" s="19" t="s">
        <v>101</v>
      </c>
      <c r="C65" s="20" t="s">
        <v>50</v>
      </c>
      <c r="D65" s="28">
        <v>200</v>
      </c>
      <c r="E65" s="28" t="s">
        <v>333</v>
      </c>
      <c r="F65" s="19" t="s">
        <v>57</v>
      </c>
      <c r="G65" s="20" t="s">
        <v>62</v>
      </c>
      <c r="J65" s="20"/>
      <c r="V65" s="20"/>
      <c r="Y65" s="20"/>
      <c r="Z65" s="38" t="s">
        <v>346</v>
      </c>
      <c r="AA65" s="19" t="s">
        <v>57</v>
      </c>
      <c r="AB65" s="20" t="s">
        <v>61</v>
      </c>
    </row>
    <row r="66" spans="1:29" x14ac:dyDescent="0.2">
      <c r="A66" s="19" t="s">
        <v>257</v>
      </c>
      <c r="B66" s="19" t="s">
        <v>101</v>
      </c>
      <c r="C66" s="20" t="s">
        <v>50</v>
      </c>
      <c r="D66" s="28">
        <v>200</v>
      </c>
      <c r="E66" s="28" t="s">
        <v>334</v>
      </c>
      <c r="F66" s="19" t="s">
        <v>57</v>
      </c>
      <c r="G66" s="20"/>
      <c r="J66" s="20"/>
      <c r="V66" s="20"/>
      <c r="Y66" s="20"/>
      <c r="AB66" s="20"/>
    </row>
    <row r="67" spans="1:29" x14ac:dyDescent="0.2">
      <c r="A67" s="19" t="s">
        <v>257</v>
      </c>
      <c r="B67" s="19" t="s">
        <v>100</v>
      </c>
      <c r="C67" s="20" t="s">
        <v>50</v>
      </c>
      <c r="D67" s="28">
        <v>200</v>
      </c>
      <c r="G67" s="20"/>
      <c r="H67" s="28" t="s">
        <v>392</v>
      </c>
      <c r="J67" s="20" t="s">
        <v>61</v>
      </c>
      <c r="T67" s="28" t="s">
        <v>393</v>
      </c>
      <c r="V67" s="20" t="s">
        <v>61</v>
      </c>
      <c r="W67" s="28" t="s">
        <v>394</v>
      </c>
      <c r="Y67" s="20" t="s">
        <v>61</v>
      </c>
      <c r="AB67" s="20"/>
    </row>
    <row r="68" spans="1:29" x14ac:dyDescent="0.2">
      <c r="A68" s="19" t="s">
        <v>258</v>
      </c>
      <c r="B68" s="19" t="s">
        <v>101</v>
      </c>
      <c r="C68" s="20" t="s">
        <v>50</v>
      </c>
      <c r="D68" s="28">
        <v>185</v>
      </c>
      <c r="E68" s="28" t="s">
        <v>342</v>
      </c>
      <c r="F68" s="19" t="s">
        <v>57</v>
      </c>
      <c r="G68" s="20" t="s">
        <v>62</v>
      </c>
      <c r="J68" s="20"/>
      <c r="V68" s="20"/>
      <c r="Y68" s="20"/>
      <c r="Z68" s="38" t="s">
        <v>277</v>
      </c>
      <c r="AA68" s="19" t="s">
        <v>57</v>
      </c>
      <c r="AB68" s="20" t="s">
        <v>61</v>
      </c>
    </row>
    <row r="69" spans="1:29" x14ac:dyDescent="0.2">
      <c r="A69" s="19" t="s">
        <v>258</v>
      </c>
      <c r="B69" s="19" t="s">
        <v>101</v>
      </c>
      <c r="C69" s="20" t="s">
        <v>50</v>
      </c>
      <c r="D69" s="28">
        <v>185</v>
      </c>
      <c r="E69" s="28" t="s">
        <v>343</v>
      </c>
      <c r="F69" s="19" t="s">
        <v>57</v>
      </c>
      <c r="G69" s="20" t="s">
        <v>62</v>
      </c>
      <c r="J69" s="20"/>
      <c r="V69" s="20"/>
      <c r="Y69" s="20"/>
      <c r="AB69" s="20"/>
    </row>
    <row r="70" spans="1:29" x14ac:dyDescent="0.2">
      <c r="A70" s="19" t="s">
        <v>258</v>
      </c>
      <c r="B70" s="19" t="s">
        <v>100</v>
      </c>
      <c r="C70" s="20" t="s">
        <v>50</v>
      </c>
      <c r="D70" s="28">
        <v>185</v>
      </c>
      <c r="G70" s="20"/>
      <c r="H70" s="28" t="s">
        <v>395</v>
      </c>
      <c r="J70" s="20" t="s">
        <v>61</v>
      </c>
      <c r="T70" s="28" t="s">
        <v>396</v>
      </c>
      <c r="V70" s="20" t="s">
        <v>61</v>
      </c>
      <c r="W70" s="28" t="s">
        <v>397</v>
      </c>
      <c r="Y70" s="20" t="s">
        <v>61</v>
      </c>
      <c r="AB70" s="20"/>
    </row>
    <row r="71" spans="1:29" x14ac:dyDescent="0.2">
      <c r="A71" s="19" t="s">
        <v>259</v>
      </c>
      <c r="B71" s="19">
        <v>1</v>
      </c>
      <c r="C71" s="20" t="s">
        <v>50</v>
      </c>
      <c r="D71" s="28">
        <v>2600</v>
      </c>
      <c r="E71" s="28" t="s">
        <v>350</v>
      </c>
      <c r="F71" s="19" t="s">
        <v>57</v>
      </c>
      <c r="G71" s="20" t="s">
        <v>62</v>
      </c>
      <c r="J71" s="20"/>
      <c r="V71" s="20"/>
      <c r="Y71" s="20"/>
      <c r="AB71" s="20"/>
    </row>
    <row r="72" spans="1:29" x14ac:dyDescent="0.2">
      <c r="A72" s="19" t="s">
        <v>259</v>
      </c>
      <c r="B72" s="19">
        <v>1</v>
      </c>
      <c r="C72" s="20" t="s">
        <v>50</v>
      </c>
      <c r="D72" s="28">
        <v>2600</v>
      </c>
      <c r="E72" s="28" t="s">
        <v>351</v>
      </c>
      <c r="F72" s="19" t="s">
        <v>57</v>
      </c>
      <c r="G72" s="20" t="s">
        <v>62</v>
      </c>
      <c r="J72" s="20"/>
      <c r="V72" s="20"/>
      <c r="Y72" s="20"/>
      <c r="AB72" s="20"/>
    </row>
    <row r="73" spans="1:29" x14ac:dyDescent="0.2">
      <c r="A73" s="19" t="s">
        <v>259</v>
      </c>
      <c r="B73" s="19">
        <v>3</v>
      </c>
      <c r="C73" s="20" t="s">
        <v>50</v>
      </c>
      <c r="D73" s="28">
        <v>2400</v>
      </c>
      <c r="G73" s="20"/>
      <c r="J73" s="20"/>
      <c r="V73" s="20"/>
      <c r="W73" s="28" t="s">
        <v>398</v>
      </c>
      <c r="Y73" s="20" t="s">
        <v>61</v>
      </c>
      <c r="AB73" s="20"/>
    </row>
    <row r="74" spans="1:29" x14ac:dyDescent="0.2">
      <c r="A74" s="19" t="s">
        <v>259</v>
      </c>
      <c r="B74" s="19">
        <v>5</v>
      </c>
      <c r="C74" s="20" t="s">
        <v>50</v>
      </c>
      <c r="D74" s="28">
        <v>2250</v>
      </c>
      <c r="E74" s="28" t="s">
        <v>358</v>
      </c>
      <c r="F74" s="19" t="s">
        <v>57</v>
      </c>
      <c r="G74" s="20" t="s">
        <v>62</v>
      </c>
      <c r="J74" s="20"/>
      <c r="V74" s="20"/>
      <c r="Y74" s="20"/>
      <c r="AB74" s="20"/>
    </row>
    <row r="75" spans="1:29" x14ac:dyDescent="0.2">
      <c r="A75" s="19" t="s">
        <v>259</v>
      </c>
      <c r="B75" s="19">
        <v>5</v>
      </c>
      <c r="C75" s="20" t="s">
        <v>50</v>
      </c>
      <c r="D75" s="28">
        <v>2250</v>
      </c>
      <c r="E75" s="28" t="s">
        <v>359</v>
      </c>
      <c r="F75" s="19" t="s">
        <v>57</v>
      </c>
      <c r="G75" s="20" t="s">
        <v>62</v>
      </c>
      <c r="J75" s="20"/>
      <c r="V75" s="20"/>
      <c r="Y75" s="20"/>
      <c r="AB75" s="20"/>
    </row>
    <row r="76" spans="1:29" x14ac:dyDescent="0.2">
      <c r="A76" s="19" t="s">
        <v>259</v>
      </c>
      <c r="B76" s="19">
        <v>7</v>
      </c>
      <c r="C76" s="20" t="s">
        <v>50</v>
      </c>
      <c r="D76" s="28">
        <v>2000</v>
      </c>
      <c r="G76" s="20"/>
      <c r="J76" s="20"/>
      <c r="V76" s="20"/>
      <c r="W76" s="28" t="s">
        <v>399</v>
      </c>
      <c r="Y76" s="20" t="s">
        <v>61</v>
      </c>
      <c r="AB76" s="20"/>
    </row>
    <row r="77" spans="1:29" x14ac:dyDescent="0.2">
      <c r="A77" s="19" t="s">
        <v>259</v>
      </c>
      <c r="B77" s="19">
        <v>10</v>
      </c>
      <c r="C77" s="20" t="s">
        <v>50</v>
      </c>
      <c r="D77" s="28">
        <v>1750</v>
      </c>
      <c r="E77" s="28" t="s">
        <v>363</v>
      </c>
      <c r="F77" s="19" t="s">
        <v>57</v>
      </c>
      <c r="G77" s="20" t="s">
        <v>62</v>
      </c>
      <c r="J77" s="20"/>
      <c r="V77" s="20"/>
      <c r="Y77" s="20"/>
      <c r="AB77" s="20"/>
    </row>
    <row r="78" spans="1:29" x14ac:dyDescent="0.2">
      <c r="A78" s="19" t="s">
        <v>259</v>
      </c>
      <c r="B78" s="19">
        <v>10</v>
      </c>
      <c r="C78" s="20" t="s">
        <v>50</v>
      </c>
      <c r="D78" s="28">
        <v>1750</v>
      </c>
      <c r="E78" s="28" t="s">
        <v>364</v>
      </c>
      <c r="F78" s="19" t="s">
        <v>21</v>
      </c>
      <c r="G78" s="20" t="s">
        <v>62</v>
      </c>
      <c r="J78" s="20"/>
      <c r="V78" s="20"/>
      <c r="Y78" s="20"/>
      <c r="AB78" s="20"/>
      <c r="AC78" s="28" t="s">
        <v>660</v>
      </c>
    </row>
    <row r="79" spans="1:29" x14ac:dyDescent="0.2">
      <c r="A79" s="19" t="s">
        <v>259</v>
      </c>
      <c r="B79" s="19">
        <v>12</v>
      </c>
      <c r="C79" s="20" t="s">
        <v>50</v>
      </c>
      <c r="D79" s="28">
        <v>1500</v>
      </c>
      <c r="E79" s="28" t="s">
        <v>368</v>
      </c>
      <c r="F79" s="19" t="s">
        <v>57</v>
      </c>
      <c r="G79" s="20" t="s">
        <v>62</v>
      </c>
      <c r="J79" s="20"/>
      <c r="V79" s="20"/>
      <c r="Y79" s="20"/>
      <c r="AB79" s="20"/>
    </row>
    <row r="80" spans="1:29" x14ac:dyDescent="0.2">
      <c r="A80" s="19" t="s">
        <v>259</v>
      </c>
      <c r="B80" s="19">
        <v>12</v>
      </c>
      <c r="C80" s="20" t="s">
        <v>50</v>
      </c>
      <c r="D80" s="28">
        <v>1500</v>
      </c>
      <c r="E80" s="28" t="s">
        <v>369</v>
      </c>
      <c r="F80" s="19" t="s">
        <v>57</v>
      </c>
      <c r="G80" s="20" t="s">
        <v>62</v>
      </c>
      <c r="J80" s="20"/>
      <c r="V80" s="20"/>
      <c r="Y80" s="20"/>
      <c r="AB80" s="20"/>
    </row>
    <row r="81" spans="1:28" x14ac:dyDescent="0.2">
      <c r="A81" s="19" t="s">
        <v>259</v>
      </c>
      <c r="B81" s="19">
        <v>14</v>
      </c>
      <c r="C81" s="20" t="s">
        <v>50</v>
      </c>
      <c r="D81" s="28">
        <v>1250</v>
      </c>
      <c r="E81" s="28" t="s">
        <v>375</v>
      </c>
      <c r="F81" s="19" t="s">
        <v>57</v>
      </c>
      <c r="G81" s="20" t="s">
        <v>62</v>
      </c>
      <c r="J81" s="20"/>
      <c r="V81" s="20"/>
      <c r="Y81" s="20"/>
      <c r="AB81" s="20"/>
    </row>
    <row r="82" spans="1:28" x14ac:dyDescent="0.2">
      <c r="A82" s="19" t="s">
        <v>259</v>
      </c>
      <c r="B82" s="19">
        <v>14</v>
      </c>
      <c r="C82" s="20" t="s">
        <v>50</v>
      </c>
      <c r="D82" s="28">
        <v>1250</v>
      </c>
      <c r="E82" s="28" t="s">
        <v>376</v>
      </c>
      <c r="F82" s="19" t="s">
        <v>57</v>
      </c>
      <c r="G82" s="20" t="s">
        <v>62</v>
      </c>
      <c r="J82" s="20"/>
      <c r="V82" s="20"/>
      <c r="Y82" s="20"/>
      <c r="AB82" s="20"/>
    </row>
    <row r="83" spans="1:28" x14ac:dyDescent="0.2">
      <c r="A83" s="19" t="s">
        <v>259</v>
      </c>
      <c r="B83" s="19">
        <v>15</v>
      </c>
      <c r="C83" s="20" t="s">
        <v>50</v>
      </c>
      <c r="D83" s="28">
        <v>1000</v>
      </c>
      <c r="G83" s="20"/>
      <c r="J83" s="20"/>
      <c r="V83" s="20"/>
      <c r="W83" s="28" t="s">
        <v>400</v>
      </c>
      <c r="Y83" s="20" t="s">
        <v>61</v>
      </c>
      <c r="AB83" s="20"/>
    </row>
    <row r="84" spans="1:28" x14ac:dyDescent="0.2">
      <c r="A84" s="19" t="s">
        <v>259</v>
      </c>
      <c r="B84" s="19">
        <v>17</v>
      </c>
      <c r="C84" s="20" t="s">
        <v>50</v>
      </c>
      <c r="D84" s="28">
        <v>750</v>
      </c>
      <c r="E84" s="28" t="s">
        <v>380</v>
      </c>
      <c r="F84" s="19" t="s">
        <v>57</v>
      </c>
      <c r="G84" s="20" t="s">
        <v>62</v>
      </c>
      <c r="J84" s="20"/>
      <c r="V84" s="20"/>
      <c r="Y84" s="20"/>
      <c r="AB84" s="20"/>
    </row>
    <row r="85" spans="1:28" x14ac:dyDescent="0.2">
      <c r="A85" s="19" t="s">
        <v>259</v>
      </c>
      <c r="B85" s="19">
        <v>17</v>
      </c>
      <c r="C85" s="20" t="s">
        <v>50</v>
      </c>
      <c r="D85" s="28">
        <v>750</v>
      </c>
      <c r="E85" s="28" t="s">
        <v>381</v>
      </c>
      <c r="F85" s="19" t="s">
        <v>57</v>
      </c>
      <c r="G85" s="20" t="s">
        <v>62</v>
      </c>
      <c r="J85" s="20"/>
      <c r="V85" s="20"/>
      <c r="Y85" s="20"/>
      <c r="AB85" s="20"/>
    </row>
    <row r="86" spans="1:28" x14ac:dyDescent="0.2">
      <c r="A86" s="19" t="s">
        <v>259</v>
      </c>
      <c r="B86" s="19">
        <v>19</v>
      </c>
      <c r="C86" s="20" t="s">
        <v>50</v>
      </c>
      <c r="D86" s="28">
        <v>500</v>
      </c>
      <c r="E86" s="28" t="s">
        <v>390</v>
      </c>
      <c r="F86" s="19" t="s">
        <v>57</v>
      </c>
      <c r="G86" s="20" t="s">
        <v>62</v>
      </c>
      <c r="J86" s="20"/>
      <c r="V86" s="20"/>
      <c r="W86" s="28" t="s">
        <v>401</v>
      </c>
      <c r="Y86" s="20" t="s">
        <v>61</v>
      </c>
      <c r="AB86" s="20"/>
    </row>
    <row r="87" spans="1:28" x14ac:dyDescent="0.2">
      <c r="A87" s="19" t="s">
        <v>259</v>
      </c>
      <c r="B87" s="19">
        <v>19</v>
      </c>
      <c r="C87" s="20" t="s">
        <v>50</v>
      </c>
      <c r="D87" s="28">
        <v>500</v>
      </c>
      <c r="E87" s="28" t="s">
        <v>386</v>
      </c>
      <c r="F87" s="19" t="s">
        <v>57</v>
      </c>
      <c r="G87" s="20" t="s">
        <v>62</v>
      </c>
      <c r="J87" s="20"/>
      <c r="V87" s="20"/>
      <c r="Y87" s="20"/>
      <c r="AB87" s="20"/>
    </row>
    <row r="88" spans="1:28" x14ac:dyDescent="0.2">
      <c r="A88" s="19" t="s">
        <v>259</v>
      </c>
      <c r="B88" s="19">
        <v>21</v>
      </c>
      <c r="C88" s="20" t="s">
        <v>50</v>
      </c>
      <c r="D88" s="28">
        <v>300</v>
      </c>
      <c r="E88" s="28" t="s">
        <v>402</v>
      </c>
      <c r="F88" s="19" t="s">
        <v>57</v>
      </c>
      <c r="G88" s="20" t="s">
        <v>62</v>
      </c>
      <c r="J88" s="20"/>
      <c r="V88" s="20"/>
      <c r="Y88" s="20"/>
      <c r="AB88" s="20"/>
    </row>
    <row r="89" spans="1:28" x14ac:dyDescent="0.2">
      <c r="A89" s="19" t="s">
        <v>259</v>
      </c>
      <c r="B89" s="19">
        <v>21</v>
      </c>
      <c r="C89" s="20" t="s">
        <v>50</v>
      </c>
      <c r="D89" s="28">
        <v>300</v>
      </c>
      <c r="E89" s="28" t="s">
        <v>403</v>
      </c>
      <c r="F89" s="19" t="s">
        <v>57</v>
      </c>
      <c r="G89" s="20" t="s">
        <v>62</v>
      </c>
      <c r="J89" s="20"/>
      <c r="V89" s="20"/>
      <c r="Y89" s="20"/>
      <c r="AB89" s="20"/>
    </row>
    <row r="90" spans="1:28" x14ac:dyDescent="0.2">
      <c r="A90" s="19" t="s">
        <v>259</v>
      </c>
      <c r="B90" s="19">
        <v>22</v>
      </c>
      <c r="C90" s="20" t="s">
        <v>50</v>
      </c>
      <c r="D90" s="28">
        <v>300</v>
      </c>
      <c r="G90" s="20"/>
      <c r="J90" s="20"/>
      <c r="V90" s="20"/>
      <c r="W90" s="28" t="s">
        <v>404</v>
      </c>
      <c r="Y90" s="20" t="s">
        <v>61</v>
      </c>
      <c r="AB90" s="20"/>
    </row>
    <row r="91" spans="1:28" x14ac:dyDescent="0.2">
      <c r="A91" s="19" t="s">
        <v>259</v>
      </c>
      <c r="B91" s="19">
        <v>23</v>
      </c>
      <c r="C91" s="20" t="s">
        <v>50</v>
      </c>
      <c r="D91" s="28">
        <v>200</v>
      </c>
      <c r="E91" s="28" t="s">
        <v>405</v>
      </c>
      <c r="F91" s="19" t="s">
        <v>57</v>
      </c>
      <c r="G91" s="20" t="s">
        <v>62</v>
      </c>
      <c r="J91" s="20"/>
      <c r="V91" s="20"/>
      <c r="Y91" s="20"/>
      <c r="AB91" s="20"/>
    </row>
    <row r="92" spans="1:28" x14ac:dyDescent="0.2">
      <c r="A92" s="19" t="s">
        <v>259</v>
      </c>
      <c r="B92" s="19">
        <v>23</v>
      </c>
      <c r="C92" s="20" t="s">
        <v>50</v>
      </c>
      <c r="D92" s="28">
        <v>200</v>
      </c>
      <c r="E92" s="28" t="s">
        <v>406</v>
      </c>
      <c r="F92" s="19" t="s">
        <v>57</v>
      </c>
      <c r="G92" s="20" t="s">
        <v>62</v>
      </c>
      <c r="J92" s="20"/>
      <c r="V92" s="20"/>
      <c r="Y92" s="20"/>
      <c r="AB92" s="20"/>
    </row>
    <row r="93" spans="1:28" x14ac:dyDescent="0.2">
      <c r="A93" s="19" t="s">
        <v>260</v>
      </c>
      <c r="B93" s="19" t="s">
        <v>101</v>
      </c>
      <c r="C93" s="20" t="s">
        <v>50</v>
      </c>
      <c r="D93" s="28">
        <v>2607</v>
      </c>
      <c r="E93" s="28" t="s">
        <v>270</v>
      </c>
      <c r="F93" s="19" t="s">
        <v>57</v>
      </c>
      <c r="G93" s="20" t="s">
        <v>62</v>
      </c>
      <c r="J93" s="20"/>
      <c r="V93" s="20"/>
      <c r="Y93" s="20"/>
      <c r="AB93" s="20"/>
    </row>
    <row r="94" spans="1:28" x14ac:dyDescent="0.2">
      <c r="A94" s="19" t="s">
        <v>260</v>
      </c>
      <c r="B94" s="19" t="s">
        <v>101</v>
      </c>
      <c r="C94" s="20" t="s">
        <v>50</v>
      </c>
      <c r="D94" s="28">
        <v>2607</v>
      </c>
      <c r="E94" s="28" t="s">
        <v>271</v>
      </c>
      <c r="F94" s="19" t="s">
        <v>57</v>
      </c>
      <c r="G94" s="20" t="s">
        <v>62</v>
      </c>
      <c r="J94" s="20"/>
      <c r="V94" s="20"/>
      <c r="Y94" s="20"/>
      <c r="AB94" s="20"/>
    </row>
    <row r="95" spans="1:28" x14ac:dyDescent="0.2">
      <c r="A95" s="19" t="s">
        <v>260</v>
      </c>
      <c r="B95" s="19" t="s">
        <v>100</v>
      </c>
      <c r="C95" s="20" t="s">
        <v>50</v>
      </c>
      <c r="D95" s="28">
        <v>2607</v>
      </c>
      <c r="G95" s="20"/>
      <c r="J95" s="20"/>
      <c r="V95" s="20"/>
      <c r="W95" s="28" t="s">
        <v>407</v>
      </c>
      <c r="Y95" s="20" t="s">
        <v>61</v>
      </c>
      <c r="Z95" s="38" t="s">
        <v>408</v>
      </c>
      <c r="AA95" s="19" t="s">
        <v>57</v>
      </c>
      <c r="AB95" s="20" t="s">
        <v>61</v>
      </c>
    </row>
    <row r="96" spans="1:28" x14ac:dyDescent="0.2">
      <c r="A96" s="19" t="s">
        <v>262</v>
      </c>
      <c r="B96" s="19" t="s">
        <v>101</v>
      </c>
      <c r="C96" s="20" t="s">
        <v>50</v>
      </c>
      <c r="D96" s="28">
        <v>1537</v>
      </c>
      <c r="G96" s="20"/>
      <c r="J96" s="20"/>
      <c r="V96" s="20"/>
      <c r="W96" s="28" t="s">
        <v>409</v>
      </c>
      <c r="Y96" s="20" t="s">
        <v>61</v>
      </c>
      <c r="AB96" s="20"/>
    </row>
    <row r="97" spans="1:29" x14ac:dyDescent="0.2">
      <c r="A97" s="19" t="s">
        <v>263</v>
      </c>
      <c r="B97" s="19" t="s">
        <v>101</v>
      </c>
      <c r="C97" s="20" t="s">
        <v>50</v>
      </c>
      <c r="D97" s="28">
        <v>191.5</v>
      </c>
      <c r="E97" s="28" t="s">
        <v>278</v>
      </c>
      <c r="F97" s="19" t="s">
        <v>57</v>
      </c>
      <c r="G97" s="20" t="s">
        <v>62</v>
      </c>
      <c r="J97" s="20"/>
      <c r="V97" s="20"/>
      <c r="Y97" s="20"/>
      <c r="AB97" s="20"/>
      <c r="AC97" s="43"/>
    </row>
    <row r="98" spans="1:29" x14ac:dyDescent="0.2">
      <c r="A98" s="19" t="s">
        <v>263</v>
      </c>
      <c r="B98" s="19" t="s">
        <v>101</v>
      </c>
      <c r="C98" s="20" t="s">
        <v>50</v>
      </c>
      <c r="D98" s="28">
        <v>191.5</v>
      </c>
      <c r="E98" s="28" t="s">
        <v>279</v>
      </c>
      <c r="F98" s="19" t="s">
        <v>57</v>
      </c>
      <c r="G98" s="20" t="s">
        <v>62</v>
      </c>
      <c r="J98" s="20"/>
      <c r="V98" s="20"/>
      <c r="Y98" s="20"/>
      <c r="AB98" s="20"/>
      <c r="AC98" s="43"/>
    </row>
    <row r="99" spans="1:29" x14ac:dyDescent="0.2">
      <c r="A99" s="19" t="s">
        <v>263</v>
      </c>
      <c r="B99" s="19" t="s">
        <v>100</v>
      </c>
      <c r="C99" s="20" t="s">
        <v>50</v>
      </c>
      <c r="D99" s="28">
        <v>191.5</v>
      </c>
      <c r="G99" s="20"/>
      <c r="H99" s="28" t="s">
        <v>410</v>
      </c>
      <c r="J99" s="20" t="s">
        <v>61</v>
      </c>
      <c r="T99" s="28" t="s">
        <v>411</v>
      </c>
      <c r="V99" s="20" t="s">
        <v>61</v>
      </c>
      <c r="W99" s="28" t="s">
        <v>412</v>
      </c>
      <c r="Y99" s="20" t="s">
        <v>61</v>
      </c>
      <c r="Z99" s="38" t="s">
        <v>326</v>
      </c>
      <c r="AA99" s="19" t="s">
        <v>57</v>
      </c>
      <c r="AB99" s="20" t="s">
        <v>61</v>
      </c>
      <c r="AC99" s="43"/>
    </row>
    <row r="100" spans="1:29" x14ac:dyDescent="0.2">
      <c r="A100" s="19" t="s">
        <v>264</v>
      </c>
      <c r="B100" s="19" t="s">
        <v>101</v>
      </c>
      <c r="C100" s="20" t="s">
        <v>50</v>
      </c>
      <c r="D100" s="28">
        <v>600</v>
      </c>
      <c r="E100" s="28" t="s">
        <v>285</v>
      </c>
      <c r="F100" s="19" t="s">
        <v>57</v>
      </c>
      <c r="G100" s="20" t="s">
        <v>62</v>
      </c>
      <c r="J100" s="20"/>
      <c r="V100" s="20"/>
      <c r="Y100" s="20"/>
      <c r="AB100" s="20"/>
      <c r="AC100" s="43"/>
    </row>
    <row r="101" spans="1:29" x14ac:dyDescent="0.2">
      <c r="A101" s="19" t="s">
        <v>264</v>
      </c>
      <c r="B101" s="19" t="s">
        <v>101</v>
      </c>
      <c r="C101" s="20" t="s">
        <v>50</v>
      </c>
      <c r="D101" s="28">
        <v>600</v>
      </c>
      <c r="E101" s="43" t="s">
        <v>286</v>
      </c>
      <c r="F101" s="19" t="s">
        <v>57</v>
      </c>
      <c r="G101" s="20" t="s">
        <v>62</v>
      </c>
      <c r="J101" s="20"/>
      <c r="V101" s="20"/>
      <c r="Y101" s="20"/>
      <c r="AB101" s="20"/>
      <c r="AC101" s="43"/>
    </row>
    <row r="102" spans="1:29" x14ac:dyDescent="0.2">
      <c r="A102" s="19" t="s">
        <v>264</v>
      </c>
      <c r="B102" s="19" t="s">
        <v>100</v>
      </c>
      <c r="C102" s="20" t="s">
        <v>50</v>
      </c>
      <c r="D102" s="28">
        <v>600</v>
      </c>
      <c r="G102" s="20"/>
      <c r="J102" s="20"/>
      <c r="V102" s="20"/>
      <c r="W102" s="28" t="s">
        <v>427</v>
      </c>
      <c r="Y102" s="20" t="s">
        <v>61</v>
      </c>
      <c r="Z102" s="38" t="s">
        <v>277</v>
      </c>
      <c r="AA102" s="19" t="s">
        <v>57</v>
      </c>
      <c r="AB102" s="20" t="s">
        <v>61</v>
      </c>
      <c r="AC102" s="43"/>
    </row>
    <row r="103" spans="1:29" x14ac:dyDescent="0.2">
      <c r="A103" s="19" t="s">
        <v>266</v>
      </c>
      <c r="B103" s="19" t="s">
        <v>101</v>
      </c>
      <c r="C103" s="20" t="s">
        <v>50</v>
      </c>
      <c r="D103" s="50">
        <v>80</v>
      </c>
      <c r="E103" s="50" t="s">
        <v>278</v>
      </c>
      <c r="F103" s="19" t="s">
        <v>57</v>
      </c>
      <c r="G103" s="51" t="s">
        <v>62</v>
      </c>
      <c r="H103" s="50"/>
      <c r="I103" s="50"/>
      <c r="J103" s="51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1"/>
      <c r="W103" s="50"/>
      <c r="X103" s="50"/>
      <c r="Y103" s="51"/>
      <c r="Z103" s="52"/>
      <c r="AA103" s="50"/>
      <c r="AB103" s="51"/>
      <c r="AC103" s="43"/>
    </row>
    <row r="104" spans="1:29" x14ac:dyDescent="0.2">
      <c r="A104" s="19" t="s">
        <v>266</v>
      </c>
      <c r="B104" s="19" t="s">
        <v>101</v>
      </c>
      <c r="C104" s="20" t="s">
        <v>50</v>
      </c>
      <c r="D104" s="50">
        <v>80</v>
      </c>
      <c r="E104" s="50" t="s">
        <v>279</v>
      </c>
      <c r="F104" s="19" t="s">
        <v>57</v>
      </c>
      <c r="G104" s="51" t="s">
        <v>62</v>
      </c>
      <c r="H104" s="50"/>
      <c r="I104" s="50"/>
      <c r="J104" s="51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1"/>
      <c r="W104" s="50"/>
      <c r="X104" s="50"/>
      <c r="Y104" s="51"/>
      <c r="Z104" s="52"/>
      <c r="AA104" s="50"/>
      <c r="AB104" s="51"/>
      <c r="AC104" s="43"/>
    </row>
    <row r="105" spans="1:29" x14ac:dyDescent="0.2">
      <c r="A105" s="19" t="s">
        <v>266</v>
      </c>
      <c r="B105" s="19" t="s">
        <v>100</v>
      </c>
      <c r="C105" s="20" t="s">
        <v>50</v>
      </c>
      <c r="D105" s="50">
        <v>80</v>
      </c>
      <c r="E105" s="50"/>
      <c r="G105" s="51"/>
      <c r="H105" s="50" t="s">
        <v>428</v>
      </c>
      <c r="I105" s="50"/>
      <c r="J105" s="20" t="s">
        <v>61</v>
      </c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1"/>
      <c r="W105" s="50" t="s">
        <v>429</v>
      </c>
      <c r="X105" s="50"/>
      <c r="Y105" s="51" t="s">
        <v>61</v>
      </c>
      <c r="Z105" s="52" t="s">
        <v>370</v>
      </c>
      <c r="AA105" s="50" t="s">
        <v>666</v>
      </c>
      <c r="AB105" s="51" t="s">
        <v>61</v>
      </c>
      <c r="AC105" s="28" t="s">
        <v>665</v>
      </c>
    </row>
    <row r="106" spans="1:29" x14ac:dyDescent="0.2">
      <c r="A106" s="19" t="s">
        <v>413</v>
      </c>
      <c r="B106" s="19">
        <v>1</v>
      </c>
      <c r="C106" s="20" t="s">
        <v>50</v>
      </c>
      <c r="D106" s="50">
        <v>220</v>
      </c>
      <c r="E106" s="50"/>
      <c r="G106" s="51"/>
      <c r="H106" s="50" t="s">
        <v>430</v>
      </c>
      <c r="I106" s="50"/>
      <c r="J106" s="20" t="s">
        <v>61</v>
      </c>
      <c r="K106" s="50"/>
      <c r="L106" s="50"/>
      <c r="M106" s="50"/>
      <c r="N106" s="50"/>
      <c r="O106" s="50"/>
      <c r="P106" s="50"/>
      <c r="Q106" s="50"/>
      <c r="R106" s="50"/>
      <c r="S106" s="50"/>
      <c r="T106" s="50" t="s">
        <v>443</v>
      </c>
      <c r="U106" s="50"/>
      <c r="V106" s="51" t="s">
        <v>61</v>
      </c>
      <c r="W106" s="50"/>
      <c r="X106" s="50"/>
      <c r="Y106" s="51"/>
      <c r="Z106" s="52"/>
      <c r="AA106" s="50"/>
      <c r="AB106" s="51"/>
      <c r="AC106" s="43"/>
    </row>
    <row r="107" spans="1:29" x14ac:dyDescent="0.2">
      <c r="A107" s="19" t="s">
        <v>413</v>
      </c>
      <c r="B107" s="19">
        <v>3</v>
      </c>
      <c r="C107" s="20" t="s">
        <v>50</v>
      </c>
      <c r="D107" s="50">
        <v>200</v>
      </c>
      <c r="E107" s="50" t="s">
        <v>285</v>
      </c>
      <c r="F107" s="19" t="s">
        <v>57</v>
      </c>
      <c r="G107" s="20" t="s">
        <v>62</v>
      </c>
      <c r="H107" s="50" t="s">
        <v>431</v>
      </c>
      <c r="I107" s="50"/>
      <c r="J107" s="20" t="s">
        <v>61</v>
      </c>
      <c r="K107" s="50"/>
      <c r="L107" s="50"/>
      <c r="M107" s="50"/>
      <c r="N107" s="50"/>
      <c r="O107" s="50"/>
      <c r="P107" s="50"/>
      <c r="Q107" s="50"/>
      <c r="R107" s="50"/>
      <c r="S107" s="50"/>
      <c r="T107" s="50" t="s">
        <v>442</v>
      </c>
      <c r="U107" s="50"/>
      <c r="V107" s="51" t="s">
        <v>61</v>
      </c>
      <c r="W107" s="50" t="s">
        <v>454</v>
      </c>
      <c r="X107" s="50"/>
      <c r="Y107" s="51" t="s">
        <v>61</v>
      </c>
      <c r="Z107" s="52"/>
      <c r="AA107" s="50"/>
      <c r="AB107" s="51"/>
      <c r="AC107" s="43"/>
    </row>
    <row r="108" spans="1:29" x14ac:dyDescent="0.2">
      <c r="A108" s="19" t="s">
        <v>413</v>
      </c>
      <c r="B108" s="19">
        <v>3</v>
      </c>
      <c r="C108" s="20" t="s">
        <v>50</v>
      </c>
      <c r="D108" s="50">
        <v>200</v>
      </c>
      <c r="E108" s="50" t="s">
        <v>286</v>
      </c>
      <c r="F108" s="19" t="s">
        <v>57</v>
      </c>
      <c r="G108" s="51" t="s">
        <v>62</v>
      </c>
      <c r="H108" s="50"/>
      <c r="I108" s="50"/>
      <c r="J108" s="51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1"/>
      <c r="W108" s="50"/>
      <c r="X108" s="50"/>
      <c r="Y108" s="51"/>
      <c r="Z108" s="52"/>
      <c r="AA108" s="50"/>
      <c r="AB108" s="51"/>
      <c r="AC108" s="43"/>
    </row>
    <row r="109" spans="1:29" x14ac:dyDescent="0.2">
      <c r="A109" s="19" t="s">
        <v>413</v>
      </c>
      <c r="B109" s="19">
        <v>5</v>
      </c>
      <c r="C109" s="20" t="s">
        <v>50</v>
      </c>
      <c r="D109" s="50">
        <v>180</v>
      </c>
      <c r="E109" s="50"/>
      <c r="G109" s="51"/>
      <c r="H109" s="50" t="s">
        <v>432</v>
      </c>
      <c r="I109" s="50"/>
      <c r="J109" s="20" t="s">
        <v>61</v>
      </c>
      <c r="K109" s="50"/>
      <c r="L109" s="50"/>
      <c r="M109" s="50"/>
      <c r="N109" s="50"/>
      <c r="O109" s="50"/>
      <c r="P109" s="50"/>
      <c r="Q109" s="50"/>
      <c r="R109" s="50"/>
      <c r="S109" s="50"/>
      <c r="T109" s="50" t="s">
        <v>445</v>
      </c>
      <c r="U109" s="50"/>
      <c r="V109" s="51" t="s">
        <v>61</v>
      </c>
      <c r="W109" s="50"/>
      <c r="X109" s="50"/>
      <c r="Y109" s="51"/>
      <c r="Z109" s="52"/>
      <c r="AA109" s="50"/>
      <c r="AB109" s="51"/>
      <c r="AC109" s="43"/>
    </row>
    <row r="110" spans="1:29" x14ac:dyDescent="0.2">
      <c r="A110" s="19" t="s">
        <v>413</v>
      </c>
      <c r="B110" s="19">
        <v>6</v>
      </c>
      <c r="C110" s="20" t="s">
        <v>50</v>
      </c>
      <c r="D110" s="50">
        <v>180</v>
      </c>
      <c r="E110" s="50"/>
      <c r="G110" s="51"/>
      <c r="H110" s="50"/>
      <c r="I110" s="50"/>
      <c r="J110" s="51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1"/>
      <c r="W110" s="50"/>
      <c r="X110" s="50"/>
      <c r="Y110" s="51"/>
      <c r="Z110" s="55" t="s">
        <v>282</v>
      </c>
      <c r="AA110" s="50" t="s">
        <v>57</v>
      </c>
      <c r="AB110" s="51" t="s">
        <v>61</v>
      </c>
      <c r="AC110" s="50"/>
    </row>
    <row r="111" spans="1:29" x14ac:dyDescent="0.2">
      <c r="A111" s="19" t="s">
        <v>413</v>
      </c>
      <c r="B111" s="19">
        <v>7</v>
      </c>
      <c r="C111" s="20" t="s">
        <v>50</v>
      </c>
      <c r="D111" s="50">
        <v>160</v>
      </c>
      <c r="E111" s="50" t="s">
        <v>293</v>
      </c>
      <c r="F111" s="19" t="s">
        <v>57</v>
      </c>
      <c r="G111" s="51" t="s">
        <v>62</v>
      </c>
      <c r="H111" s="50" t="s">
        <v>433</v>
      </c>
      <c r="I111" s="50"/>
      <c r="J111" s="20" t="s">
        <v>61</v>
      </c>
      <c r="K111" s="50"/>
      <c r="L111" s="50"/>
      <c r="M111" s="50"/>
      <c r="N111" s="50"/>
      <c r="O111" s="50"/>
      <c r="P111" s="50"/>
      <c r="Q111" s="50"/>
      <c r="R111" s="50"/>
      <c r="S111" s="50"/>
      <c r="T111" s="50" t="s">
        <v>444</v>
      </c>
      <c r="U111" s="50"/>
      <c r="V111" s="20" t="s">
        <v>61</v>
      </c>
      <c r="W111" s="50"/>
      <c r="X111" s="50"/>
      <c r="Y111" s="51"/>
      <c r="Z111" s="52"/>
      <c r="AA111" s="50"/>
      <c r="AB111" s="51"/>
      <c r="AC111" s="50"/>
    </row>
    <row r="112" spans="1:29" x14ac:dyDescent="0.2">
      <c r="A112" s="19" t="s">
        <v>413</v>
      </c>
      <c r="B112" s="19">
        <v>7</v>
      </c>
      <c r="C112" s="20" t="s">
        <v>50</v>
      </c>
      <c r="D112" s="50">
        <v>160</v>
      </c>
      <c r="E112" s="50" t="s">
        <v>294</v>
      </c>
      <c r="F112" s="19" t="s">
        <v>57</v>
      </c>
      <c r="G112" s="51" t="s">
        <v>62</v>
      </c>
      <c r="H112" s="50"/>
      <c r="I112" s="50"/>
      <c r="J112" s="51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1"/>
      <c r="W112" s="50"/>
      <c r="X112" s="50"/>
      <c r="Y112" s="51"/>
      <c r="Z112" s="52"/>
      <c r="AA112" s="50"/>
      <c r="AB112" s="51"/>
      <c r="AC112" s="50"/>
    </row>
    <row r="113" spans="1:29" x14ac:dyDescent="0.2">
      <c r="A113" s="19" t="s">
        <v>413</v>
      </c>
      <c r="B113" s="19">
        <v>8</v>
      </c>
      <c r="C113" s="20" t="s">
        <v>50</v>
      </c>
      <c r="D113" s="50">
        <v>160</v>
      </c>
      <c r="E113" s="50"/>
      <c r="G113" s="51"/>
      <c r="H113" s="50"/>
      <c r="I113" s="50"/>
      <c r="J113" s="51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1"/>
      <c r="W113" s="50"/>
      <c r="X113" s="50"/>
      <c r="Y113" s="51"/>
      <c r="Z113" s="55" t="s">
        <v>277</v>
      </c>
      <c r="AA113" s="50" t="s">
        <v>57</v>
      </c>
      <c r="AB113" s="51" t="s">
        <v>61</v>
      </c>
      <c r="AC113" s="50"/>
    </row>
    <row r="114" spans="1:29" x14ac:dyDescent="0.2">
      <c r="A114" s="19" t="s">
        <v>413</v>
      </c>
      <c r="B114" s="19">
        <v>9</v>
      </c>
      <c r="C114" s="20" t="s">
        <v>50</v>
      </c>
      <c r="D114" s="50">
        <v>140</v>
      </c>
      <c r="E114" s="50"/>
      <c r="G114" s="51"/>
      <c r="H114" s="50" t="s">
        <v>434</v>
      </c>
      <c r="I114" s="50"/>
      <c r="J114" s="20" t="s">
        <v>61</v>
      </c>
      <c r="K114" s="50"/>
      <c r="L114" s="50"/>
      <c r="M114" s="50"/>
      <c r="N114" s="50"/>
      <c r="O114" s="50"/>
      <c r="P114" s="50"/>
      <c r="Q114" s="50"/>
      <c r="R114" s="50"/>
      <c r="S114" s="50"/>
      <c r="T114" s="50" t="s">
        <v>447</v>
      </c>
      <c r="U114" s="50"/>
      <c r="V114" s="51" t="s">
        <v>61</v>
      </c>
      <c r="W114" s="50"/>
      <c r="X114" s="50"/>
      <c r="Y114" s="51"/>
      <c r="Z114" s="52"/>
      <c r="AA114" s="50"/>
      <c r="AB114" s="51"/>
      <c r="AC114" s="50"/>
    </row>
    <row r="115" spans="1:29" x14ac:dyDescent="0.2">
      <c r="A115" s="19" t="s">
        <v>413</v>
      </c>
      <c r="B115" s="19">
        <v>11</v>
      </c>
      <c r="C115" s="20" t="s">
        <v>50</v>
      </c>
      <c r="D115" s="50">
        <v>120</v>
      </c>
      <c r="E115" s="50" t="s">
        <v>298</v>
      </c>
      <c r="F115" s="19" t="s">
        <v>57</v>
      </c>
      <c r="G115" s="51" t="s">
        <v>62</v>
      </c>
      <c r="H115" s="50" t="s">
        <v>435</v>
      </c>
      <c r="I115" s="50"/>
      <c r="J115" s="20" t="s">
        <v>61</v>
      </c>
      <c r="K115" s="50"/>
      <c r="L115" s="50"/>
      <c r="M115" s="50"/>
      <c r="N115" s="50"/>
      <c r="O115" s="50"/>
      <c r="P115" s="50"/>
      <c r="Q115" s="50"/>
      <c r="R115" s="50"/>
      <c r="S115" s="50"/>
      <c r="T115" s="50" t="s">
        <v>446</v>
      </c>
      <c r="U115" s="50"/>
      <c r="V115" s="51" t="s">
        <v>61</v>
      </c>
      <c r="W115" s="50" t="s">
        <v>455</v>
      </c>
      <c r="X115" s="50"/>
      <c r="Y115" s="51" t="s">
        <v>61</v>
      </c>
      <c r="Z115" s="55" t="s">
        <v>459</v>
      </c>
      <c r="AA115" s="50" t="s">
        <v>57</v>
      </c>
      <c r="AB115" s="51" t="s">
        <v>61</v>
      </c>
      <c r="AC115" s="50"/>
    </row>
    <row r="116" spans="1:29" x14ac:dyDescent="0.2">
      <c r="A116" s="19" t="s">
        <v>413</v>
      </c>
      <c r="B116" s="19">
        <v>11</v>
      </c>
      <c r="C116" s="20" t="s">
        <v>50</v>
      </c>
      <c r="D116" s="50">
        <v>120</v>
      </c>
      <c r="E116" s="50" t="s">
        <v>299</v>
      </c>
      <c r="F116" s="19" t="s">
        <v>57</v>
      </c>
      <c r="G116" s="51" t="s">
        <v>62</v>
      </c>
      <c r="H116" s="50"/>
      <c r="I116" s="50"/>
      <c r="J116" s="51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1"/>
      <c r="W116" s="50"/>
      <c r="X116" s="50"/>
      <c r="Y116" s="51"/>
      <c r="Z116" s="52"/>
      <c r="AA116" s="50"/>
      <c r="AB116" s="51"/>
      <c r="AC116" s="50"/>
    </row>
    <row r="117" spans="1:29" x14ac:dyDescent="0.2">
      <c r="A117" s="19" t="s">
        <v>413</v>
      </c>
      <c r="B117" s="19">
        <v>13</v>
      </c>
      <c r="C117" s="20" t="s">
        <v>50</v>
      </c>
      <c r="D117" s="50">
        <v>100</v>
      </c>
      <c r="E117" s="50"/>
      <c r="G117" s="51"/>
      <c r="H117" s="50" t="s">
        <v>436</v>
      </c>
      <c r="I117" s="50"/>
      <c r="J117" s="20" t="s">
        <v>61</v>
      </c>
      <c r="K117" s="50"/>
      <c r="L117" s="50"/>
      <c r="M117" s="50"/>
      <c r="N117" s="50"/>
      <c r="O117" s="50"/>
      <c r="P117" s="50"/>
      <c r="Q117" s="50"/>
      <c r="R117" s="50"/>
      <c r="S117" s="50"/>
      <c r="T117" s="50" t="s">
        <v>448</v>
      </c>
      <c r="U117" s="50"/>
      <c r="V117" s="51" t="s">
        <v>61</v>
      </c>
      <c r="W117" s="50"/>
      <c r="X117" s="50"/>
      <c r="Y117" s="51"/>
      <c r="Z117" s="52"/>
      <c r="AA117" s="50"/>
      <c r="AB117" s="51"/>
      <c r="AC117" s="50"/>
    </row>
    <row r="118" spans="1:29" x14ac:dyDescent="0.2">
      <c r="A118" s="19" t="s">
        <v>413</v>
      </c>
      <c r="B118" s="19">
        <v>14</v>
      </c>
      <c r="C118" s="20" t="s">
        <v>50</v>
      </c>
      <c r="D118" s="50">
        <v>100</v>
      </c>
      <c r="E118" s="50" t="s">
        <v>303</v>
      </c>
      <c r="F118" s="19" t="s">
        <v>57</v>
      </c>
      <c r="G118" s="51" t="s">
        <v>62</v>
      </c>
      <c r="H118" s="50"/>
      <c r="I118" s="50"/>
      <c r="J118" s="51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1"/>
      <c r="W118" s="50"/>
      <c r="X118" s="50"/>
      <c r="Y118" s="51"/>
      <c r="Z118" s="52"/>
      <c r="AA118" s="50"/>
      <c r="AB118" s="51"/>
      <c r="AC118" s="50"/>
    </row>
    <row r="119" spans="1:29" x14ac:dyDescent="0.2">
      <c r="A119" s="19" t="s">
        <v>413</v>
      </c>
      <c r="B119" s="19">
        <v>14</v>
      </c>
      <c r="C119" s="20" t="s">
        <v>50</v>
      </c>
      <c r="D119" s="50">
        <v>100</v>
      </c>
      <c r="E119" s="50" t="s">
        <v>304</v>
      </c>
      <c r="F119" s="19" t="s">
        <v>57</v>
      </c>
      <c r="G119" s="51" t="s">
        <v>62</v>
      </c>
      <c r="H119" s="50"/>
      <c r="I119" s="50"/>
      <c r="J119" s="51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1"/>
      <c r="W119" s="50"/>
      <c r="X119" s="50"/>
      <c r="Y119" s="51"/>
      <c r="Z119" s="52"/>
      <c r="AA119" s="50"/>
      <c r="AB119" s="51"/>
      <c r="AC119" s="50"/>
    </row>
    <row r="120" spans="1:29" x14ac:dyDescent="0.2">
      <c r="A120" s="19" t="s">
        <v>413</v>
      </c>
      <c r="B120" s="19">
        <v>15</v>
      </c>
      <c r="C120" s="20" t="s">
        <v>50</v>
      </c>
      <c r="D120" s="50">
        <v>80</v>
      </c>
      <c r="E120" s="50"/>
      <c r="G120" s="51"/>
      <c r="H120" s="50" t="s">
        <v>437</v>
      </c>
      <c r="I120" s="50"/>
      <c r="J120" s="20" t="s">
        <v>61</v>
      </c>
      <c r="K120" s="50"/>
      <c r="L120" s="50"/>
      <c r="M120" s="50"/>
      <c r="N120" s="50"/>
      <c r="O120" s="50"/>
      <c r="P120" s="50"/>
      <c r="Q120" s="50"/>
      <c r="R120" s="50"/>
      <c r="S120" s="50"/>
      <c r="T120" s="50" t="s">
        <v>449</v>
      </c>
      <c r="U120" s="50"/>
      <c r="V120" s="51" t="s">
        <v>61</v>
      </c>
      <c r="W120" s="50" t="s">
        <v>456</v>
      </c>
      <c r="X120" s="50"/>
      <c r="Y120" s="51" t="s">
        <v>61</v>
      </c>
      <c r="Z120" s="52"/>
      <c r="AA120" s="50"/>
      <c r="AB120" s="51"/>
      <c r="AC120" s="50"/>
    </row>
    <row r="121" spans="1:29" x14ac:dyDescent="0.2">
      <c r="A121" s="19" t="s">
        <v>413</v>
      </c>
      <c r="B121" s="19">
        <v>16</v>
      </c>
      <c r="C121" s="20" t="s">
        <v>50</v>
      </c>
      <c r="D121" s="50">
        <v>80</v>
      </c>
      <c r="E121" s="50" t="s">
        <v>310</v>
      </c>
      <c r="F121" s="19" t="s">
        <v>57</v>
      </c>
      <c r="G121" s="51" t="s">
        <v>62</v>
      </c>
      <c r="H121" s="50"/>
      <c r="I121" s="50"/>
      <c r="J121" s="51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1"/>
      <c r="W121" s="50"/>
      <c r="X121" s="50"/>
      <c r="Y121" s="51"/>
      <c r="Z121" s="52"/>
      <c r="AA121" s="50"/>
      <c r="AB121" s="51"/>
      <c r="AC121" s="50"/>
    </row>
    <row r="122" spans="1:29" x14ac:dyDescent="0.2">
      <c r="A122" s="19" t="s">
        <v>413</v>
      </c>
      <c r="B122" s="19">
        <v>16</v>
      </c>
      <c r="C122" s="20" t="s">
        <v>50</v>
      </c>
      <c r="D122" s="50">
        <v>80</v>
      </c>
      <c r="E122" s="50" t="s">
        <v>311</v>
      </c>
      <c r="F122" s="19" t="s">
        <v>57</v>
      </c>
      <c r="G122" s="51" t="s">
        <v>62</v>
      </c>
      <c r="H122" s="50"/>
      <c r="I122" s="50"/>
      <c r="J122" s="51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1"/>
      <c r="W122" s="50"/>
      <c r="X122" s="50"/>
      <c r="Y122" s="51"/>
      <c r="Z122" s="55" t="s">
        <v>391</v>
      </c>
      <c r="AA122" s="50" t="s">
        <v>57</v>
      </c>
      <c r="AB122" s="51" t="s">
        <v>61</v>
      </c>
      <c r="AC122" s="50"/>
    </row>
    <row r="123" spans="1:29" x14ac:dyDescent="0.2">
      <c r="A123" s="19" t="s">
        <v>413</v>
      </c>
      <c r="B123" s="19">
        <v>17</v>
      </c>
      <c r="C123" s="20" t="s">
        <v>50</v>
      </c>
      <c r="D123" s="50">
        <v>60</v>
      </c>
      <c r="E123" s="50"/>
      <c r="G123" s="51"/>
      <c r="H123" s="50" t="s">
        <v>438</v>
      </c>
      <c r="I123" s="50"/>
      <c r="J123" s="20" t="s">
        <v>61</v>
      </c>
      <c r="K123" s="50"/>
      <c r="L123" s="50"/>
      <c r="M123" s="50"/>
      <c r="N123" s="50"/>
      <c r="O123" s="50"/>
      <c r="P123" s="50"/>
      <c r="Q123" s="50"/>
      <c r="R123" s="50"/>
      <c r="S123" s="50"/>
      <c r="T123" s="50" t="s">
        <v>450</v>
      </c>
      <c r="U123" s="50"/>
      <c r="V123" s="51" t="s">
        <v>61</v>
      </c>
      <c r="W123" s="50"/>
      <c r="X123" s="50"/>
      <c r="Y123" s="51"/>
      <c r="Z123" s="52"/>
      <c r="AA123" s="50"/>
      <c r="AB123" s="51"/>
      <c r="AC123" s="50"/>
    </row>
    <row r="124" spans="1:29" x14ac:dyDescent="0.2">
      <c r="A124" s="19" t="s">
        <v>413</v>
      </c>
      <c r="B124" s="19">
        <v>18</v>
      </c>
      <c r="C124" s="20" t="s">
        <v>50</v>
      </c>
      <c r="D124" s="50">
        <v>60</v>
      </c>
      <c r="E124" s="50" t="s">
        <v>315</v>
      </c>
      <c r="F124" s="19" t="s">
        <v>57</v>
      </c>
      <c r="G124" s="51" t="s">
        <v>62</v>
      </c>
      <c r="H124" s="50"/>
      <c r="I124" s="50"/>
      <c r="J124" s="51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1"/>
      <c r="W124" s="50"/>
      <c r="X124" s="50"/>
      <c r="Y124" s="51"/>
      <c r="Z124" s="55" t="s">
        <v>326</v>
      </c>
      <c r="AA124" s="50" t="s">
        <v>57</v>
      </c>
      <c r="AB124" s="51" t="s">
        <v>61</v>
      </c>
      <c r="AC124" s="50"/>
    </row>
    <row r="125" spans="1:29" x14ac:dyDescent="0.2">
      <c r="A125" s="19" t="s">
        <v>413</v>
      </c>
      <c r="B125" s="19">
        <v>18</v>
      </c>
      <c r="C125" s="20" t="s">
        <v>50</v>
      </c>
      <c r="D125" s="50">
        <v>60</v>
      </c>
      <c r="E125" s="50" t="s">
        <v>316</v>
      </c>
      <c r="F125" s="19" t="s">
        <v>57</v>
      </c>
      <c r="G125" s="51" t="s">
        <v>62</v>
      </c>
      <c r="H125" s="50"/>
      <c r="I125" s="50"/>
      <c r="J125" s="51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1"/>
      <c r="W125" s="50"/>
      <c r="X125" s="50"/>
      <c r="Y125" s="51"/>
      <c r="Z125" s="52"/>
      <c r="AA125" s="50"/>
      <c r="AB125" s="51"/>
      <c r="AC125" s="50"/>
    </row>
    <row r="126" spans="1:29" x14ac:dyDescent="0.2">
      <c r="A126" s="19" t="s">
        <v>413</v>
      </c>
      <c r="B126" s="19">
        <v>19</v>
      </c>
      <c r="C126" s="20" t="s">
        <v>50</v>
      </c>
      <c r="D126" s="50">
        <v>40</v>
      </c>
      <c r="E126" s="50"/>
      <c r="G126" s="51"/>
      <c r="H126" s="50" t="s">
        <v>439</v>
      </c>
      <c r="I126" s="50"/>
      <c r="J126" s="20" t="s">
        <v>61</v>
      </c>
      <c r="K126" s="50"/>
      <c r="L126" s="50"/>
      <c r="M126" s="50"/>
      <c r="N126" s="50"/>
      <c r="O126" s="50"/>
      <c r="P126" s="50"/>
      <c r="Q126" s="50"/>
      <c r="R126" s="50"/>
      <c r="S126" s="50"/>
      <c r="T126" s="50" t="s">
        <v>451</v>
      </c>
      <c r="U126" s="50"/>
      <c r="V126" s="51" t="s">
        <v>61</v>
      </c>
      <c r="W126" s="50" t="s">
        <v>457</v>
      </c>
      <c r="X126" s="50"/>
      <c r="Y126" s="51" t="s">
        <v>61</v>
      </c>
      <c r="Z126" s="52"/>
      <c r="AA126" s="50"/>
      <c r="AB126" s="51"/>
      <c r="AC126" s="50"/>
    </row>
    <row r="127" spans="1:29" x14ac:dyDescent="0.2">
      <c r="A127" s="19" t="s">
        <v>413</v>
      </c>
      <c r="B127" s="19">
        <v>20</v>
      </c>
      <c r="C127" s="20" t="s">
        <v>50</v>
      </c>
      <c r="D127" s="50">
        <v>40</v>
      </c>
      <c r="E127" s="50"/>
      <c r="G127" s="51"/>
      <c r="H127" s="50"/>
      <c r="I127" s="50"/>
      <c r="J127" s="51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1"/>
      <c r="W127" s="50"/>
      <c r="X127" s="50"/>
      <c r="Y127" s="51"/>
      <c r="Z127" s="55" t="s">
        <v>408</v>
      </c>
      <c r="AA127" s="50" t="s">
        <v>57</v>
      </c>
      <c r="AB127" s="51" t="s">
        <v>61</v>
      </c>
      <c r="AC127" s="50"/>
    </row>
    <row r="128" spans="1:29" x14ac:dyDescent="0.2">
      <c r="A128" s="19" t="s">
        <v>413</v>
      </c>
      <c r="B128" s="19">
        <v>21</v>
      </c>
      <c r="C128" s="20" t="s">
        <v>50</v>
      </c>
      <c r="D128" s="50">
        <v>20</v>
      </c>
      <c r="E128" s="50" t="s">
        <v>321</v>
      </c>
      <c r="F128" s="19" t="s">
        <v>57</v>
      </c>
      <c r="G128" s="51" t="s">
        <v>62</v>
      </c>
      <c r="H128" s="50" t="s">
        <v>440</v>
      </c>
      <c r="I128" s="50"/>
      <c r="J128" s="20" t="s">
        <v>61</v>
      </c>
      <c r="K128" s="50"/>
      <c r="L128" s="50"/>
      <c r="M128" s="50"/>
      <c r="N128" s="50"/>
      <c r="O128" s="50"/>
      <c r="P128" s="50"/>
      <c r="Q128" s="50"/>
      <c r="R128" s="50"/>
      <c r="S128" s="50"/>
      <c r="T128" s="50" t="s">
        <v>452</v>
      </c>
      <c r="U128" s="50"/>
      <c r="V128" s="51" t="s">
        <v>61</v>
      </c>
      <c r="W128" s="50"/>
      <c r="X128" s="50"/>
      <c r="Y128" s="51"/>
      <c r="Z128" s="52"/>
      <c r="AA128" s="50"/>
      <c r="AB128" s="51"/>
      <c r="AC128" s="50"/>
    </row>
    <row r="129" spans="1:29" x14ac:dyDescent="0.2">
      <c r="A129" s="19" t="s">
        <v>413</v>
      </c>
      <c r="B129" s="19">
        <v>21</v>
      </c>
      <c r="C129" s="20" t="s">
        <v>50</v>
      </c>
      <c r="D129" s="50">
        <v>20</v>
      </c>
      <c r="E129" s="50" t="s">
        <v>322</v>
      </c>
      <c r="F129" s="19" t="s">
        <v>57</v>
      </c>
      <c r="G129" s="51" t="s">
        <v>62</v>
      </c>
      <c r="H129" s="50"/>
      <c r="I129" s="50"/>
      <c r="J129" s="51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1"/>
      <c r="W129" s="50"/>
      <c r="X129" s="50"/>
      <c r="Y129" s="51"/>
      <c r="Z129" s="52"/>
      <c r="AA129" s="50"/>
      <c r="AB129" s="51"/>
      <c r="AC129" s="50"/>
    </row>
    <row r="130" spans="1:29" x14ac:dyDescent="0.2">
      <c r="A130" s="19" t="s">
        <v>413</v>
      </c>
      <c r="B130" s="19">
        <v>22</v>
      </c>
      <c r="C130" s="20" t="s">
        <v>50</v>
      </c>
      <c r="D130" s="50">
        <v>20</v>
      </c>
      <c r="G130" s="53"/>
      <c r="I130" s="28"/>
      <c r="J130" s="53"/>
      <c r="L130" s="28"/>
      <c r="M130" s="28"/>
      <c r="O130" s="28"/>
      <c r="P130" s="28"/>
      <c r="R130" s="28"/>
      <c r="S130" s="28"/>
      <c r="U130" s="28"/>
      <c r="V130" s="53"/>
      <c r="X130" s="28"/>
      <c r="Y130" s="53"/>
      <c r="Z130" s="56" t="s">
        <v>346</v>
      </c>
      <c r="AA130" s="50" t="s">
        <v>57</v>
      </c>
      <c r="AB130" s="51" t="s">
        <v>61</v>
      </c>
      <c r="AC130" s="50"/>
    </row>
    <row r="131" spans="1:29" x14ac:dyDescent="0.2">
      <c r="A131" s="19" t="s">
        <v>413</v>
      </c>
      <c r="B131" s="19">
        <v>23</v>
      </c>
      <c r="C131" s="20" t="s">
        <v>50</v>
      </c>
      <c r="D131" s="50">
        <v>10</v>
      </c>
      <c r="E131" s="28" t="s">
        <v>327</v>
      </c>
      <c r="F131" s="19" t="s">
        <v>57</v>
      </c>
      <c r="G131" s="53" t="s">
        <v>62</v>
      </c>
      <c r="I131" s="28"/>
      <c r="J131" s="53"/>
      <c r="L131" s="28"/>
      <c r="M131" s="28"/>
      <c r="O131" s="28"/>
      <c r="P131" s="28"/>
      <c r="R131" s="28"/>
      <c r="S131" s="28"/>
      <c r="T131" s="28" t="s">
        <v>453</v>
      </c>
      <c r="U131" s="28"/>
      <c r="V131" s="20" t="s">
        <v>61</v>
      </c>
      <c r="W131" s="28" t="s">
        <v>458</v>
      </c>
      <c r="X131" s="28"/>
      <c r="Y131" s="53" t="s">
        <v>61</v>
      </c>
      <c r="AA131" s="50"/>
      <c r="AB131" s="51"/>
      <c r="AC131" s="50"/>
    </row>
    <row r="132" spans="1:29" x14ac:dyDescent="0.2">
      <c r="A132" s="19" t="s">
        <v>413</v>
      </c>
      <c r="B132" s="19">
        <v>23</v>
      </c>
      <c r="C132" s="20" t="s">
        <v>50</v>
      </c>
      <c r="D132" s="50">
        <v>10</v>
      </c>
      <c r="E132" s="28" t="s">
        <v>328</v>
      </c>
      <c r="F132" s="19" t="s">
        <v>57</v>
      </c>
      <c r="G132" s="53" t="s">
        <v>62</v>
      </c>
      <c r="H132" s="28" t="s">
        <v>441</v>
      </c>
      <c r="I132" s="28"/>
      <c r="J132" s="20" t="s">
        <v>61</v>
      </c>
      <c r="L132" s="28"/>
      <c r="M132" s="28"/>
      <c r="O132" s="28"/>
      <c r="P132" s="28"/>
      <c r="R132" s="28"/>
      <c r="S132" s="28"/>
      <c r="U132" s="28"/>
      <c r="V132" s="53"/>
      <c r="X132" s="28"/>
      <c r="Y132" s="53"/>
      <c r="AA132" s="50"/>
      <c r="AB132" s="51"/>
      <c r="AC132" s="50"/>
    </row>
    <row r="133" spans="1:29" x14ac:dyDescent="0.2">
      <c r="A133" s="19" t="s">
        <v>413</v>
      </c>
      <c r="B133" s="19">
        <v>24</v>
      </c>
      <c r="C133" s="20" t="s">
        <v>50</v>
      </c>
      <c r="D133" s="50">
        <v>10</v>
      </c>
      <c r="G133" s="53"/>
      <c r="I133" s="28"/>
      <c r="J133" s="53"/>
      <c r="L133" s="28"/>
      <c r="M133" s="28"/>
      <c r="O133" s="28"/>
      <c r="P133" s="28"/>
      <c r="R133" s="28"/>
      <c r="S133" s="28"/>
      <c r="U133" s="28"/>
      <c r="V133" s="53"/>
      <c r="X133" s="28"/>
      <c r="Y133" s="53"/>
      <c r="Z133" s="56" t="s">
        <v>300</v>
      </c>
      <c r="AA133" s="50" t="s">
        <v>57</v>
      </c>
      <c r="AB133" s="51" t="s">
        <v>61</v>
      </c>
      <c r="AC133" s="50"/>
    </row>
    <row r="134" spans="1:29" x14ac:dyDescent="0.2">
      <c r="A134" s="19" t="s">
        <v>490</v>
      </c>
      <c r="B134" s="19" t="s">
        <v>100</v>
      </c>
      <c r="C134" s="20" t="s">
        <v>50</v>
      </c>
      <c r="D134" s="50">
        <v>1526</v>
      </c>
      <c r="G134" s="53"/>
      <c r="I134" s="28"/>
      <c r="J134" s="53"/>
      <c r="L134" s="28"/>
      <c r="M134" s="28"/>
      <c r="O134" s="28"/>
      <c r="P134" s="28"/>
      <c r="R134" s="28"/>
      <c r="S134" s="28"/>
      <c r="U134" s="28"/>
      <c r="V134" s="53"/>
      <c r="W134" s="28" t="s">
        <v>491</v>
      </c>
      <c r="X134" s="28"/>
      <c r="Y134" s="53" t="s">
        <v>61</v>
      </c>
      <c r="Z134" s="56"/>
      <c r="AA134" s="50"/>
      <c r="AB134" s="51"/>
      <c r="AC134" s="50"/>
    </row>
    <row r="135" spans="1:29" x14ac:dyDescent="0.2">
      <c r="A135" s="19" t="s">
        <v>492</v>
      </c>
      <c r="B135" s="19" t="s">
        <v>100</v>
      </c>
      <c r="C135" s="20" t="s">
        <v>50</v>
      </c>
      <c r="D135" s="50">
        <v>1523</v>
      </c>
      <c r="G135" s="53"/>
      <c r="I135" s="28"/>
      <c r="J135" s="53"/>
      <c r="L135" s="28"/>
      <c r="M135" s="28"/>
      <c r="O135" s="28"/>
      <c r="P135" s="28"/>
      <c r="R135" s="28"/>
      <c r="S135" s="28"/>
      <c r="U135" s="28"/>
      <c r="V135" s="53"/>
      <c r="W135" s="28" t="s">
        <v>493</v>
      </c>
      <c r="X135" s="28"/>
      <c r="Y135" s="53" t="s">
        <v>61</v>
      </c>
      <c r="Z135" s="56"/>
      <c r="AA135" s="50"/>
      <c r="AB135" s="51"/>
      <c r="AC135" s="50"/>
    </row>
    <row r="136" spans="1:29" x14ac:dyDescent="0.2">
      <c r="A136" s="19" t="s">
        <v>460</v>
      </c>
      <c r="B136" s="19">
        <v>1</v>
      </c>
      <c r="C136" s="20" t="s">
        <v>50</v>
      </c>
      <c r="D136" s="50">
        <v>220</v>
      </c>
      <c r="G136" s="53"/>
      <c r="H136" s="28" t="s">
        <v>461</v>
      </c>
      <c r="I136" s="28"/>
      <c r="J136" s="20" t="s">
        <v>61</v>
      </c>
      <c r="L136" s="28"/>
      <c r="M136" s="28"/>
      <c r="O136" s="28"/>
      <c r="P136" s="28"/>
      <c r="R136" s="28"/>
      <c r="S136" s="28"/>
      <c r="T136" s="28" t="s">
        <v>462</v>
      </c>
      <c r="U136" s="28"/>
      <c r="V136" s="53" t="s">
        <v>61</v>
      </c>
      <c r="X136" s="28"/>
      <c r="Y136" s="53"/>
      <c r="AA136" s="50"/>
      <c r="AB136" s="51"/>
      <c r="AC136" s="50"/>
    </row>
    <row r="137" spans="1:29" x14ac:dyDescent="0.2">
      <c r="A137" s="19" t="s">
        <v>460</v>
      </c>
      <c r="B137" s="19">
        <v>3</v>
      </c>
      <c r="C137" s="20" t="s">
        <v>50</v>
      </c>
      <c r="D137" s="50">
        <v>200</v>
      </c>
      <c r="E137" s="28" t="s">
        <v>333</v>
      </c>
      <c r="F137" s="19" t="s">
        <v>57</v>
      </c>
      <c r="G137" s="53" t="s">
        <v>62</v>
      </c>
      <c r="H137" s="28" t="s">
        <v>463</v>
      </c>
      <c r="I137" s="28"/>
      <c r="J137" s="20" t="s">
        <v>61</v>
      </c>
      <c r="L137" s="28"/>
      <c r="M137" s="28"/>
      <c r="O137" s="28"/>
      <c r="P137" s="28"/>
      <c r="R137" s="28"/>
      <c r="S137" s="28"/>
      <c r="T137" s="28" t="s">
        <v>464</v>
      </c>
      <c r="U137" s="28"/>
      <c r="V137" s="53" t="s">
        <v>61</v>
      </c>
      <c r="W137" s="28" t="s">
        <v>465</v>
      </c>
      <c r="X137" s="28"/>
      <c r="Y137" s="53" t="s">
        <v>61</v>
      </c>
      <c r="AA137" s="50"/>
      <c r="AB137" s="51"/>
      <c r="AC137" s="50"/>
    </row>
    <row r="138" spans="1:29" x14ac:dyDescent="0.2">
      <c r="A138" s="19" t="s">
        <v>460</v>
      </c>
      <c r="B138" s="19">
        <v>3</v>
      </c>
      <c r="C138" s="20" t="s">
        <v>50</v>
      </c>
      <c r="D138" s="50">
        <v>200</v>
      </c>
      <c r="E138" s="28" t="s">
        <v>363</v>
      </c>
      <c r="F138" s="19" t="s">
        <v>57</v>
      </c>
      <c r="G138" s="53" t="s">
        <v>62</v>
      </c>
      <c r="I138" s="28"/>
      <c r="J138" s="53"/>
      <c r="L138" s="28"/>
      <c r="M138" s="28"/>
      <c r="O138" s="28"/>
      <c r="P138" s="28"/>
      <c r="R138" s="28"/>
      <c r="S138" s="28"/>
      <c r="U138" s="28"/>
      <c r="V138" s="53"/>
      <c r="X138" s="28"/>
      <c r="Y138" s="53"/>
      <c r="AA138" s="50"/>
      <c r="AB138" s="51"/>
      <c r="AC138" s="50"/>
    </row>
    <row r="139" spans="1:29" x14ac:dyDescent="0.2">
      <c r="A139" s="19" t="s">
        <v>460</v>
      </c>
      <c r="B139" s="19">
        <v>5</v>
      </c>
      <c r="C139" s="20" t="s">
        <v>50</v>
      </c>
      <c r="D139" s="50">
        <v>180</v>
      </c>
      <c r="G139" s="53"/>
      <c r="H139" s="28" t="s">
        <v>466</v>
      </c>
      <c r="I139" s="28"/>
      <c r="J139" s="20" t="s">
        <v>61</v>
      </c>
      <c r="L139" s="28"/>
      <c r="M139" s="28"/>
      <c r="O139" s="28"/>
      <c r="P139" s="28"/>
      <c r="R139" s="28"/>
      <c r="S139" s="28"/>
      <c r="T139" s="28" t="s">
        <v>467</v>
      </c>
      <c r="U139" s="28"/>
      <c r="V139" s="53" t="s">
        <v>61</v>
      </c>
      <c r="X139" s="28"/>
      <c r="Y139" s="53"/>
      <c r="AA139" s="50"/>
      <c r="AB139" s="51"/>
      <c r="AC139" s="50"/>
    </row>
    <row r="140" spans="1:29" x14ac:dyDescent="0.2">
      <c r="A140" s="19" t="s">
        <v>460</v>
      </c>
      <c r="B140" s="19">
        <v>6</v>
      </c>
      <c r="C140" s="20" t="s">
        <v>50</v>
      </c>
      <c r="D140" s="28">
        <v>180</v>
      </c>
      <c r="G140" s="53"/>
      <c r="I140" s="28"/>
      <c r="J140" s="53"/>
      <c r="L140" s="28"/>
      <c r="M140" s="28"/>
      <c r="O140" s="28"/>
      <c r="P140" s="28"/>
      <c r="R140" s="28"/>
      <c r="S140" s="28"/>
      <c r="U140" s="28"/>
      <c r="V140" s="53"/>
      <c r="X140" s="28"/>
      <c r="Y140" s="53"/>
      <c r="Z140" s="56" t="s">
        <v>346</v>
      </c>
      <c r="AA140" s="19" t="s">
        <v>57</v>
      </c>
      <c r="AB140" s="20" t="s">
        <v>61</v>
      </c>
    </row>
    <row r="141" spans="1:29" x14ac:dyDescent="0.2">
      <c r="A141" s="19" t="s">
        <v>460</v>
      </c>
      <c r="B141" s="19">
        <v>7</v>
      </c>
      <c r="C141" s="20" t="s">
        <v>50</v>
      </c>
      <c r="D141" s="28">
        <v>160</v>
      </c>
      <c r="E141" s="28" t="s">
        <v>334</v>
      </c>
      <c r="F141" s="19" t="s">
        <v>57</v>
      </c>
      <c r="G141" s="53" t="s">
        <v>62</v>
      </c>
      <c r="H141" s="28" t="s">
        <v>468</v>
      </c>
      <c r="I141" s="28"/>
      <c r="J141" s="20" t="s">
        <v>61</v>
      </c>
      <c r="L141" s="28"/>
      <c r="M141" s="28"/>
      <c r="O141" s="28"/>
      <c r="P141" s="28"/>
      <c r="R141" s="28"/>
      <c r="S141" s="28"/>
      <c r="T141" s="28" t="s">
        <v>469</v>
      </c>
      <c r="U141" s="28"/>
      <c r="V141" s="53" t="s">
        <v>61</v>
      </c>
      <c r="X141" s="28"/>
      <c r="Y141" s="53"/>
      <c r="AB141" s="20"/>
    </row>
    <row r="142" spans="1:29" x14ac:dyDescent="0.2">
      <c r="A142" s="19" t="s">
        <v>460</v>
      </c>
      <c r="B142" s="19">
        <v>7</v>
      </c>
      <c r="C142" s="20" t="s">
        <v>50</v>
      </c>
      <c r="D142" s="28">
        <v>160</v>
      </c>
      <c r="E142" s="28" t="s">
        <v>364</v>
      </c>
      <c r="F142" s="19" t="s">
        <v>57</v>
      </c>
      <c r="G142" s="53" t="s">
        <v>62</v>
      </c>
      <c r="I142" s="28"/>
      <c r="J142" s="53"/>
      <c r="L142" s="28"/>
      <c r="M142" s="28"/>
      <c r="O142" s="28"/>
      <c r="P142" s="28"/>
      <c r="R142" s="28"/>
      <c r="S142" s="28"/>
      <c r="U142" s="28"/>
      <c r="V142" s="53"/>
      <c r="X142" s="28"/>
      <c r="Y142" s="53"/>
      <c r="AB142" s="20"/>
    </row>
    <row r="143" spans="1:29" x14ac:dyDescent="0.2">
      <c r="A143" s="19" t="s">
        <v>460</v>
      </c>
      <c r="B143" s="19">
        <v>8</v>
      </c>
      <c r="C143" s="20" t="s">
        <v>50</v>
      </c>
      <c r="D143" s="28">
        <v>160</v>
      </c>
      <c r="G143" s="53"/>
      <c r="I143" s="28"/>
      <c r="J143" s="53"/>
      <c r="L143" s="28"/>
      <c r="M143" s="28"/>
      <c r="O143" s="28"/>
      <c r="P143" s="28"/>
      <c r="R143" s="28"/>
      <c r="S143" s="28"/>
      <c r="U143" s="28"/>
      <c r="V143" s="53"/>
      <c r="X143" s="28"/>
      <c r="Y143" s="53"/>
      <c r="Z143" s="56" t="s">
        <v>459</v>
      </c>
      <c r="AA143" s="19" t="s">
        <v>57</v>
      </c>
      <c r="AB143" s="20" t="s">
        <v>61</v>
      </c>
    </row>
    <row r="144" spans="1:29" x14ac:dyDescent="0.2">
      <c r="A144" s="19" t="s">
        <v>460</v>
      </c>
      <c r="B144" s="19">
        <v>9</v>
      </c>
      <c r="C144" s="20" t="s">
        <v>50</v>
      </c>
      <c r="D144" s="28">
        <v>140</v>
      </c>
      <c r="G144" s="53"/>
      <c r="H144" s="28" t="s">
        <v>470</v>
      </c>
      <c r="I144" s="28"/>
      <c r="J144" s="20" t="s">
        <v>61</v>
      </c>
      <c r="L144" s="28"/>
      <c r="M144" s="28"/>
      <c r="O144" s="28"/>
      <c r="P144" s="28"/>
      <c r="R144" s="28"/>
      <c r="S144" s="28"/>
      <c r="T144" s="28" t="s">
        <v>471</v>
      </c>
      <c r="U144" s="28"/>
      <c r="V144" s="53" t="s">
        <v>61</v>
      </c>
      <c r="X144" s="28"/>
      <c r="Y144" s="53"/>
      <c r="AB144" s="20"/>
    </row>
    <row r="145" spans="1:28" x14ac:dyDescent="0.2">
      <c r="A145" s="19" t="s">
        <v>460</v>
      </c>
      <c r="B145" s="19">
        <v>11</v>
      </c>
      <c r="C145" s="20" t="s">
        <v>50</v>
      </c>
      <c r="D145" s="28">
        <v>120</v>
      </c>
      <c r="E145" s="28" t="s">
        <v>342</v>
      </c>
      <c r="F145" s="19" t="s">
        <v>57</v>
      </c>
      <c r="G145" s="53" t="s">
        <v>62</v>
      </c>
      <c r="H145" s="28" t="s">
        <v>472</v>
      </c>
      <c r="I145" s="28"/>
      <c r="J145" s="20" t="s">
        <v>61</v>
      </c>
      <c r="L145" s="28"/>
      <c r="M145" s="28"/>
      <c r="O145" s="28"/>
      <c r="P145" s="28"/>
      <c r="R145" s="28"/>
      <c r="S145" s="28"/>
      <c r="T145" s="28" t="s">
        <v>473</v>
      </c>
      <c r="U145" s="28"/>
      <c r="V145" s="53" t="s">
        <v>61</v>
      </c>
      <c r="W145" s="28" t="s">
        <v>474</v>
      </c>
      <c r="X145" s="28"/>
      <c r="Y145" s="53" t="s">
        <v>61</v>
      </c>
      <c r="Z145" s="56" t="s">
        <v>305</v>
      </c>
      <c r="AA145" s="19" t="s">
        <v>57</v>
      </c>
      <c r="AB145" s="20" t="s">
        <v>61</v>
      </c>
    </row>
    <row r="146" spans="1:28" x14ac:dyDescent="0.2">
      <c r="A146" s="19" t="s">
        <v>460</v>
      </c>
      <c r="B146" s="19">
        <v>11</v>
      </c>
      <c r="C146" s="20" t="s">
        <v>50</v>
      </c>
      <c r="D146" s="28">
        <v>120</v>
      </c>
      <c r="E146" s="28" t="s">
        <v>368</v>
      </c>
      <c r="F146" s="19" t="s">
        <v>57</v>
      </c>
      <c r="G146" s="53" t="s">
        <v>62</v>
      </c>
      <c r="I146" s="28"/>
      <c r="J146" s="53"/>
      <c r="L146" s="28"/>
      <c r="M146" s="28"/>
      <c r="O146" s="28"/>
      <c r="P146" s="28"/>
      <c r="R146" s="28"/>
      <c r="S146" s="28"/>
      <c r="U146" s="28"/>
      <c r="V146" s="53"/>
      <c r="X146" s="28"/>
      <c r="Y146" s="53"/>
      <c r="AB146" s="20"/>
    </row>
    <row r="147" spans="1:28" x14ac:dyDescent="0.2">
      <c r="A147" s="19" t="s">
        <v>460</v>
      </c>
      <c r="B147" s="19">
        <v>13</v>
      </c>
      <c r="C147" s="20" t="s">
        <v>50</v>
      </c>
      <c r="D147" s="28">
        <v>100</v>
      </c>
      <c r="G147" s="53"/>
      <c r="H147" s="28" t="s">
        <v>475</v>
      </c>
      <c r="I147" s="28"/>
      <c r="J147" s="20" t="s">
        <v>61</v>
      </c>
      <c r="L147" s="28"/>
      <c r="M147" s="28"/>
      <c r="O147" s="28"/>
      <c r="P147" s="28"/>
      <c r="R147" s="28"/>
      <c r="S147" s="28"/>
      <c r="T147" s="28" t="s">
        <v>476</v>
      </c>
      <c r="U147" s="28"/>
      <c r="V147" s="53" t="s">
        <v>61</v>
      </c>
      <c r="X147" s="28"/>
      <c r="Y147" s="53"/>
      <c r="AB147" s="20"/>
    </row>
    <row r="148" spans="1:28" x14ac:dyDescent="0.2">
      <c r="A148" s="19" t="s">
        <v>460</v>
      </c>
      <c r="B148" s="19">
        <v>14</v>
      </c>
      <c r="C148" s="20" t="s">
        <v>50</v>
      </c>
      <c r="D148" s="28">
        <v>100</v>
      </c>
      <c r="E148" s="28" t="s">
        <v>343</v>
      </c>
      <c r="F148" s="19" t="s">
        <v>57</v>
      </c>
      <c r="G148" s="53" t="s">
        <v>62</v>
      </c>
      <c r="I148" s="28"/>
      <c r="J148" s="53"/>
      <c r="L148" s="28"/>
      <c r="M148" s="28"/>
      <c r="O148" s="28"/>
      <c r="P148" s="28"/>
      <c r="R148" s="28"/>
      <c r="S148" s="28"/>
      <c r="U148" s="28"/>
      <c r="V148" s="53"/>
      <c r="X148" s="28"/>
      <c r="Y148" s="53"/>
      <c r="AB148" s="20"/>
    </row>
    <row r="149" spans="1:28" x14ac:dyDescent="0.2">
      <c r="A149" s="19" t="s">
        <v>460</v>
      </c>
      <c r="B149" s="19">
        <v>14</v>
      </c>
      <c r="C149" s="20" t="s">
        <v>50</v>
      </c>
      <c r="D149" s="28">
        <v>100</v>
      </c>
      <c r="E149" s="28" t="s">
        <v>369</v>
      </c>
      <c r="F149" s="19" t="s">
        <v>57</v>
      </c>
      <c r="G149" s="53" t="s">
        <v>62</v>
      </c>
      <c r="I149" s="28"/>
      <c r="J149" s="53"/>
      <c r="L149" s="28"/>
      <c r="M149" s="28"/>
      <c r="O149" s="28"/>
      <c r="P149" s="28"/>
      <c r="R149" s="28"/>
      <c r="S149" s="28"/>
      <c r="U149" s="28"/>
      <c r="V149" s="53"/>
      <c r="X149" s="28"/>
      <c r="Y149" s="53"/>
      <c r="AB149" s="20"/>
    </row>
    <row r="150" spans="1:28" x14ac:dyDescent="0.2">
      <c r="A150" s="19" t="s">
        <v>460</v>
      </c>
      <c r="B150" s="19">
        <v>15</v>
      </c>
      <c r="C150" s="20" t="s">
        <v>50</v>
      </c>
      <c r="D150" s="28">
        <v>80</v>
      </c>
      <c r="G150" s="53"/>
      <c r="H150" s="28" t="s">
        <v>477</v>
      </c>
      <c r="I150" s="28"/>
      <c r="J150" s="20" t="s">
        <v>61</v>
      </c>
      <c r="L150" s="28"/>
      <c r="M150" s="28"/>
      <c r="O150" s="28"/>
      <c r="P150" s="28"/>
      <c r="R150" s="28"/>
      <c r="S150" s="28"/>
      <c r="T150" s="28" t="s">
        <v>478</v>
      </c>
      <c r="U150" s="28"/>
      <c r="V150" s="53" t="s">
        <v>61</v>
      </c>
      <c r="W150" s="28" t="s">
        <v>479</v>
      </c>
      <c r="X150" s="28"/>
      <c r="Y150" s="53" t="s">
        <v>61</v>
      </c>
      <c r="AB150" s="20"/>
    </row>
    <row r="151" spans="1:28" x14ac:dyDescent="0.2">
      <c r="A151" s="19" t="s">
        <v>460</v>
      </c>
      <c r="B151" s="19">
        <v>16</v>
      </c>
      <c r="C151" s="20" t="s">
        <v>50</v>
      </c>
      <c r="D151" s="28">
        <v>80</v>
      </c>
      <c r="E151" s="28" t="s">
        <v>350</v>
      </c>
      <c r="F151" s="19" t="s">
        <v>57</v>
      </c>
      <c r="G151" s="28" t="s">
        <v>62</v>
      </c>
      <c r="I151" s="28"/>
      <c r="J151" s="28"/>
      <c r="L151" s="28"/>
      <c r="M151" s="28"/>
      <c r="O151" s="28"/>
      <c r="P151" s="28"/>
      <c r="R151" s="28"/>
      <c r="S151" s="28"/>
      <c r="U151" s="28"/>
      <c r="V151" s="28"/>
      <c r="X151" s="28"/>
      <c r="Y151" s="53"/>
      <c r="Z151" s="56" t="s">
        <v>309</v>
      </c>
      <c r="AA151" s="19" t="s">
        <v>57</v>
      </c>
      <c r="AB151" s="20" t="s">
        <v>61</v>
      </c>
    </row>
    <row r="152" spans="1:28" x14ac:dyDescent="0.2">
      <c r="A152" s="19" t="s">
        <v>460</v>
      </c>
      <c r="B152" s="19">
        <v>16</v>
      </c>
      <c r="C152" s="20" t="s">
        <v>50</v>
      </c>
      <c r="D152" s="28">
        <v>80</v>
      </c>
      <c r="E152" s="28" t="s">
        <v>375</v>
      </c>
      <c r="F152" s="19" t="s">
        <v>57</v>
      </c>
      <c r="G152" s="28" t="s">
        <v>62</v>
      </c>
      <c r="I152" s="28"/>
      <c r="J152" s="28"/>
      <c r="L152" s="28"/>
      <c r="M152" s="28"/>
      <c r="O152" s="28"/>
      <c r="P152" s="28"/>
      <c r="R152" s="28"/>
      <c r="S152" s="28"/>
      <c r="U152" s="28"/>
      <c r="V152" s="28"/>
      <c r="X152" s="28"/>
      <c r="Y152" s="53"/>
      <c r="AB152" s="20"/>
    </row>
    <row r="153" spans="1:28" x14ac:dyDescent="0.2">
      <c r="A153" s="19" t="s">
        <v>460</v>
      </c>
      <c r="B153" s="19">
        <v>17</v>
      </c>
      <c r="C153" s="20" t="s">
        <v>50</v>
      </c>
      <c r="D153" s="28">
        <v>60</v>
      </c>
      <c r="G153" s="28"/>
      <c r="H153" s="28" t="s">
        <v>480</v>
      </c>
      <c r="I153" s="28"/>
      <c r="J153" s="20" t="s">
        <v>61</v>
      </c>
      <c r="L153" s="28"/>
      <c r="M153" s="28"/>
      <c r="O153" s="28"/>
      <c r="P153" s="28"/>
      <c r="R153" s="28"/>
      <c r="S153" s="28"/>
      <c r="T153" s="28" t="s">
        <v>481</v>
      </c>
      <c r="U153" s="28"/>
      <c r="V153" s="20" t="s">
        <v>61</v>
      </c>
      <c r="X153" s="28"/>
      <c r="Y153" s="53"/>
      <c r="AB153" s="20"/>
    </row>
    <row r="154" spans="1:28" x14ac:dyDescent="0.2">
      <c r="A154" s="19" t="s">
        <v>460</v>
      </c>
      <c r="B154" s="19">
        <v>18</v>
      </c>
      <c r="C154" s="20" t="s">
        <v>50</v>
      </c>
      <c r="D154" s="28">
        <v>60</v>
      </c>
      <c r="E154" s="28" t="s">
        <v>351</v>
      </c>
      <c r="F154" s="19" t="s">
        <v>57</v>
      </c>
      <c r="G154" s="28" t="s">
        <v>62</v>
      </c>
      <c r="I154" s="28"/>
      <c r="J154" s="28"/>
      <c r="L154" s="28"/>
      <c r="M154" s="28"/>
      <c r="O154" s="28"/>
      <c r="P154" s="28"/>
      <c r="R154" s="28"/>
      <c r="S154" s="28"/>
      <c r="U154" s="28"/>
      <c r="V154" s="28"/>
      <c r="X154" s="28"/>
      <c r="Y154" s="53"/>
      <c r="Z154" s="56" t="s">
        <v>282</v>
      </c>
      <c r="AA154" s="19" t="s">
        <v>57</v>
      </c>
      <c r="AB154" s="20" t="s">
        <v>61</v>
      </c>
    </row>
    <row r="155" spans="1:28" x14ac:dyDescent="0.2">
      <c r="A155" s="19" t="s">
        <v>460</v>
      </c>
      <c r="B155" s="19">
        <v>18</v>
      </c>
      <c r="C155" s="20" t="s">
        <v>50</v>
      </c>
      <c r="D155" s="28">
        <v>60</v>
      </c>
      <c r="E155" s="28" t="s">
        <v>376</v>
      </c>
      <c r="F155" s="19" t="s">
        <v>57</v>
      </c>
      <c r="G155" s="28" t="s">
        <v>62</v>
      </c>
      <c r="I155" s="28"/>
      <c r="J155" s="28"/>
      <c r="L155" s="28"/>
      <c r="M155" s="28"/>
      <c r="O155" s="28"/>
      <c r="P155" s="28"/>
      <c r="R155" s="28"/>
      <c r="S155" s="28"/>
      <c r="U155" s="28"/>
      <c r="V155" s="28"/>
      <c r="X155" s="28"/>
      <c r="Y155" s="53"/>
      <c r="AB155" s="20"/>
    </row>
    <row r="156" spans="1:28" x14ac:dyDescent="0.2">
      <c r="A156" s="19" t="s">
        <v>460</v>
      </c>
      <c r="B156" s="19">
        <v>19</v>
      </c>
      <c r="C156" s="20" t="s">
        <v>50</v>
      </c>
      <c r="D156" s="28">
        <v>40</v>
      </c>
      <c r="G156" s="28"/>
      <c r="H156" s="28" t="s">
        <v>482</v>
      </c>
      <c r="I156" s="28"/>
      <c r="J156" s="20" t="s">
        <v>61</v>
      </c>
      <c r="L156" s="28"/>
      <c r="M156" s="28"/>
      <c r="O156" s="28"/>
      <c r="P156" s="28"/>
      <c r="R156" s="28"/>
      <c r="S156" s="28"/>
      <c r="T156" s="28" t="s">
        <v>483</v>
      </c>
      <c r="U156" s="28"/>
      <c r="V156" s="20" t="s">
        <v>61</v>
      </c>
      <c r="W156" s="28" t="s">
        <v>484</v>
      </c>
      <c r="X156" s="28"/>
      <c r="Y156" s="53" t="s">
        <v>61</v>
      </c>
      <c r="AB156" s="20"/>
    </row>
    <row r="157" spans="1:28" x14ac:dyDescent="0.2">
      <c r="A157" s="19" t="s">
        <v>460</v>
      </c>
      <c r="B157" s="19">
        <v>20</v>
      </c>
      <c r="C157" s="20" t="s">
        <v>50</v>
      </c>
      <c r="D157" s="28">
        <v>40</v>
      </c>
      <c r="G157" s="28"/>
      <c r="I157" s="28"/>
      <c r="J157" s="28"/>
      <c r="L157" s="28"/>
      <c r="M157" s="28"/>
      <c r="O157" s="28"/>
      <c r="P157" s="28"/>
      <c r="R157" s="28"/>
      <c r="S157" s="28"/>
      <c r="U157" s="28"/>
      <c r="V157" s="28"/>
      <c r="X157" s="28"/>
      <c r="Y157" s="53"/>
      <c r="Z157" s="56" t="s">
        <v>277</v>
      </c>
      <c r="AA157" s="19" t="s">
        <v>57</v>
      </c>
      <c r="AB157" s="20" t="s">
        <v>61</v>
      </c>
    </row>
    <row r="158" spans="1:28" x14ac:dyDescent="0.2">
      <c r="A158" s="19" t="s">
        <v>460</v>
      </c>
      <c r="B158" s="19">
        <v>21</v>
      </c>
      <c r="C158" s="20" t="s">
        <v>50</v>
      </c>
      <c r="D158" s="28">
        <v>20</v>
      </c>
      <c r="E158" s="28" t="s">
        <v>358</v>
      </c>
      <c r="F158" s="19" t="s">
        <v>57</v>
      </c>
      <c r="G158" s="28" t="s">
        <v>62</v>
      </c>
      <c r="H158" s="28" t="s">
        <v>485</v>
      </c>
      <c r="I158" s="28"/>
      <c r="J158" s="20" t="s">
        <v>61</v>
      </c>
      <c r="L158" s="28"/>
      <c r="M158" s="28"/>
      <c r="O158" s="28"/>
      <c r="P158" s="28"/>
      <c r="R158" s="28"/>
      <c r="S158" s="28"/>
      <c r="T158" s="28" t="s">
        <v>486</v>
      </c>
      <c r="U158" s="28"/>
      <c r="V158" s="20" t="s">
        <v>61</v>
      </c>
      <c r="X158" s="28"/>
      <c r="Y158" s="53"/>
      <c r="AB158" s="20"/>
    </row>
    <row r="159" spans="1:28" x14ac:dyDescent="0.2">
      <c r="A159" s="19" t="s">
        <v>460</v>
      </c>
      <c r="B159" s="19">
        <v>21</v>
      </c>
      <c r="C159" s="20" t="s">
        <v>50</v>
      </c>
      <c r="D159" s="28">
        <v>20</v>
      </c>
      <c r="E159" s="28" t="s">
        <v>380</v>
      </c>
      <c r="F159" s="19" t="s">
        <v>57</v>
      </c>
      <c r="G159" s="28" t="s">
        <v>62</v>
      </c>
      <c r="I159" s="28"/>
      <c r="J159" s="28"/>
      <c r="L159" s="28"/>
      <c r="M159" s="28"/>
      <c r="O159" s="28"/>
      <c r="P159" s="28"/>
      <c r="R159" s="28"/>
      <c r="S159" s="28"/>
      <c r="U159" s="28"/>
      <c r="V159" s="20"/>
      <c r="X159" s="28"/>
      <c r="Y159" s="53"/>
      <c r="AB159" s="20"/>
    </row>
    <row r="160" spans="1:28" x14ac:dyDescent="0.2">
      <c r="A160" s="19" t="s">
        <v>460</v>
      </c>
      <c r="B160" s="19">
        <v>22</v>
      </c>
      <c r="C160" s="20" t="s">
        <v>50</v>
      </c>
      <c r="D160" s="28">
        <v>20</v>
      </c>
      <c r="G160" s="28"/>
      <c r="I160" s="28"/>
      <c r="J160" s="28"/>
      <c r="L160" s="28"/>
      <c r="M160" s="28"/>
      <c r="O160" s="28"/>
      <c r="P160" s="28"/>
      <c r="R160" s="28"/>
      <c r="S160" s="28"/>
      <c r="U160" s="28"/>
      <c r="V160" s="20"/>
      <c r="X160" s="28"/>
      <c r="Y160" s="53"/>
      <c r="Z160" s="56" t="s">
        <v>391</v>
      </c>
      <c r="AA160" s="19" t="s">
        <v>57</v>
      </c>
      <c r="AB160" s="20" t="s">
        <v>61</v>
      </c>
    </row>
    <row r="161" spans="1:29" x14ac:dyDescent="0.2">
      <c r="A161" s="19" t="s">
        <v>460</v>
      </c>
      <c r="B161" s="19">
        <v>23</v>
      </c>
      <c r="C161" s="20" t="s">
        <v>50</v>
      </c>
      <c r="D161" s="28">
        <v>10</v>
      </c>
      <c r="E161" s="28" t="s">
        <v>359</v>
      </c>
      <c r="F161" s="19" t="s">
        <v>57</v>
      </c>
      <c r="G161" s="28" t="s">
        <v>62</v>
      </c>
      <c r="H161" s="28" t="s">
        <v>487</v>
      </c>
      <c r="I161" s="28"/>
      <c r="J161" s="20" t="s">
        <v>61</v>
      </c>
      <c r="L161" s="28"/>
      <c r="M161" s="28"/>
      <c r="O161" s="28"/>
      <c r="P161" s="28"/>
      <c r="R161" s="28"/>
      <c r="S161" s="28"/>
      <c r="T161" s="28" t="s">
        <v>488</v>
      </c>
      <c r="U161" s="28"/>
      <c r="V161" s="20" t="s">
        <v>61</v>
      </c>
      <c r="W161" s="28" t="s">
        <v>489</v>
      </c>
      <c r="X161" s="28"/>
      <c r="Y161" s="53" t="s">
        <v>61</v>
      </c>
      <c r="AB161" s="20"/>
    </row>
    <row r="162" spans="1:29" x14ac:dyDescent="0.2">
      <c r="A162" s="19" t="s">
        <v>460</v>
      </c>
      <c r="B162" s="19">
        <v>23</v>
      </c>
      <c r="C162" s="20" t="s">
        <v>50</v>
      </c>
      <c r="D162" s="28">
        <v>10</v>
      </c>
      <c r="E162" s="28" t="s">
        <v>381</v>
      </c>
      <c r="F162" s="19" t="s">
        <v>57</v>
      </c>
      <c r="G162" s="28" t="s">
        <v>62</v>
      </c>
      <c r="I162" s="28"/>
      <c r="J162" s="28"/>
      <c r="L162" s="28"/>
      <c r="M162" s="28"/>
      <c r="O162" s="28"/>
      <c r="P162" s="28"/>
      <c r="R162" s="28"/>
      <c r="S162" s="28"/>
      <c r="U162" s="28"/>
      <c r="V162" s="20"/>
      <c r="X162" s="28"/>
      <c r="Y162" s="53"/>
      <c r="AB162" s="20"/>
    </row>
    <row r="163" spans="1:29" x14ac:dyDescent="0.2">
      <c r="A163" s="19" t="s">
        <v>460</v>
      </c>
      <c r="B163" s="19">
        <v>24</v>
      </c>
      <c r="C163" s="20" t="s">
        <v>50</v>
      </c>
      <c r="D163" s="28">
        <v>10</v>
      </c>
      <c r="G163" s="28"/>
      <c r="I163" s="28"/>
      <c r="J163" s="28"/>
      <c r="L163" s="28"/>
      <c r="M163" s="28"/>
      <c r="O163" s="28"/>
      <c r="P163" s="28"/>
      <c r="R163" s="28"/>
      <c r="S163" s="28"/>
      <c r="U163" s="28"/>
      <c r="V163" s="20"/>
      <c r="X163" s="28"/>
      <c r="Y163" s="53"/>
      <c r="Z163" s="56" t="s">
        <v>326</v>
      </c>
      <c r="AA163" s="19" t="s">
        <v>57</v>
      </c>
      <c r="AB163" s="20" t="s">
        <v>61</v>
      </c>
    </row>
    <row r="164" spans="1:29" x14ac:dyDescent="0.2">
      <c r="A164" s="19" t="s">
        <v>496</v>
      </c>
      <c r="B164" s="19">
        <v>1</v>
      </c>
      <c r="C164" s="20" t="s">
        <v>50</v>
      </c>
      <c r="D164" s="28">
        <v>220</v>
      </c>
      <c r="G164" s="28"/>
      <c r="H164" s="28" t="s">
        <v>497</v>
      </c>
      <c r="I164" s="28"/>
      <c r="J164" s="20" t="s">
        <v>61</v>
      </c>
      <c r="L164" s="28"/>
      <c r="M164" s="28"/>
      <c r="O164" s="28"/>
      <c r="P164" s="28"/>
      <c r="R164" s="28"/>
      <c r="S164" s="28"/>
      <c r="T164" s="28" t="s">
        <v>509</v>
      </c>
      <c r="U164" s="28"/>
      <c r="V164" s="20" t="s">
        <v>61</v>
      </c>
      <c r="X164" s="28"/>
      <c r="Y164" s="53"/>
      <c r="AB164" s="20"/>
    </row>
    <row r="165" spans="1:29" x14ac:dyDescent="0.2">
      <c r="A165" s="19" t="s">
        <v>496</v>
      </c>
      <c r="B165" s="19">
        <v>3</v>
      </c>
      <c r="C165" s="20" t="s">
        <v>50</v>
      </c>
      <c r="D165" s="28">
        <v>200</v>
      </c>
      <c r="E165" s="28" t="s">
        <v>299</v>
      </c>
      <c r="F165" s="19" t="s">
        <v>57</v>
      </c>
      <c r="G165" s="28" t="s">
        <v>62</v>
      </c>
      <c r="H165" s="28" t="s">
        <v>498</v>
      </c>
      <c r="I165" s="28"/>
      <c r="J165" s="20" t="s">
        <v>61</v>
      </c>
      <c r="L165" s="28"/>
      <c r="M165" s="28"/>
      <c r="O165" s="28"/>
      <c r="P165" s="28"/>
      <c r="R165" s="28"/>
      <c r="S165" s="28"/>
      <c r="T165" s="28" t="s">
        <v>510</v>
      </c>
      <c r="U165" s="28"/>
      <c r="V165" s="20" t="s">
        <v>61</v>
      </c>
      <c r="W165" s="28" t="s">
        <v>521</v>
      </c>
      <c r="X165" s="28"/>
      <c r="Y165" s="53" t="s">
        <v>61</v>
      </c>
      <c r="AB165" s="20"/>
    </row>
    <row r="166" spans="1:29" x14ac:dyDescent="0.2">
      <c r="A166" s="19" t="s">
        <v>496</v>
      </c>
      <c r="B166" s="19">
        <v>3</v>
      </c>
      <c r="C166" s="20" t="s">
        <v>50</v>
      </c>
      <c r="D166" s="28">
        <v>200</v>
      </c>
      <c r="E166" s="28" t="s">
        <v>311</v>
      </c>
      <c r="F166" s="19" t="s">
        <v>57</v>
      </c>
      <c r="G166" s="28" t="s">
        <v>62</v>
      </c>
      <c r="I166" s="28"/>
      <c r="J166" s="28"/>
      <c r="L166" s="28"/>
      <c r="M166" s="28"/>
      <c r="O166" s="28"/>
      <c r="P166" s="28"/>
      <c r="R166" s="28"/>
      <c r="S166" s="28"/>
      <c r="U166" s="28"/>
      <c r="V166" s="20"/>
      <c r="X166" s="28"/>
      <c r="Y166" s="53"/>
      <c r="AB166" s="20"/>
    </row>
    <row r="167" spans="1:29" x14ac:dyDescent="0.2">
      <c r="A167" s="19" t="s">
        <v>496</v>
      </c>
      <c r="B167" s="19">
        <v>5</v>
      </c>
      <c r="C167" s="20" t="s">
        <v>50</v>
      </c>
      <c r="D167" s="28">
        <v>180</v>
      </c>
      <c r="G167" s="28"/>
      <c r="H167" s="28" t="s">
        <v>499</v>
      </c>
      <c r="I167" s="28"/>
      <c r="J167" s="20" t="s">
        <v>61</v>
      </c>
      <c r="L167" s="28"/>
      <c r="M167" s="28"/>
      <c r="O167" s="28"/>
      <c r="P167" s="28"/>
      <c r="R167" s="28"/>
      <c r="S167" s="28"/>
      <c r="T167" s="28" t="s">
        <v>511</v>
      </c>
      <c r="U167" s="28"/>
      <c r="V167" s="20" t="s">
        <v>61</v>
      </c>
      <c r="X167" s="28"/>
      <c r="Y167" s="53"/>
      <c r="AB167" s="20"/>
    </row>
    <row r="168" spans="1:29" x14ac:dyDescent="0.2">
      <c r="A168" s="19" t="s">
        <v>496</v>
      </c>
      <c r="B168" s="19">
        <v>6</v>
      </c>
      <c r="C168" s="20" t="s">
        <v>50</v>
      </c>
      <c r="D168" s="28">
        <v>180</v>
      </c>
      <c r="G168" s="28"/>
      <c r="I168" s="28"/>
      <c r="J168" s="28"/>
      <c r="L168" s="28"/>
      <c r="M168" s="28"/>
      <c r="O168" s="28"/>
      <c r="P168" s="28"/>
      <c r="R168" s="28"/>
      <c r="S168" s="28"/>
      <c r="U168" s="28"/>
      <c r="V168" s="20"/>
      <c r="X168" s="28"/>
      <c r="Y168" s="53"/>
      <c r="Z168" s="56" t="s">
        <v>526</v>
      </c>
      <c r="AA168" s="19" t="s">
        <v>57</v>
      </c>
      <c r="AB168" s="20" t="s">
        <v>61</v>
      </c>
    </row>
    <row r="169" spans="1:29" x14ac:dyDescent="0.2">
      <c r="A169" s="19" t="s">
        <v>496</v>
      </c>
      <c r="B169" s="19">
        <v>7</v>
      </c>
      <c r="C169" s="20" t="s">
        <v>50</v>
      </c>
      <c r="D169" s="28">
        <v>160</v>
      </c>
      <c r="E169" s="28" t="s">
        <v>304</v>
      </c>
      <c r="F169" s="19" t="s">
        <v>57</v>
      </c>
      <c r="G169" s="28" t="s">
        <v>62</v>
      </c>
      <c r="H169" s="28" t="s">
        <v>500</v>
      </c>
      <c r="I169" s="28"/>
      <c r="J169" s="20" t="s">
        <v>61</v>
      </c>
      <c r="L169" s="28"/>
      <c r="M169" s="28"/>
      <c r="O169" s="28"/>
      <c r="P169" s="28"/>
      <c r="R169" s="28"/>
      <c r="S169" s="28"/>
      <c r="T169" s="28" t="s">
        <v>512</v>
      </c>
      <c r="U169" s="28"/>
      <c r="V169" s="20" t="s">
        <v>61</v>
      </c>
      <c r="X169" s="28"/>
      <c r="Y169" s="53"/>
      <c r="Z169" s="56"/>
      <c r="AB169" s="20"/>
    </row>
    <row r="170" spans="1:29" x14ac:dyDescent="0.2">
      <c r="A170" s="19" t="s">
        <v>496</v>
      </c>
      <c r="B170" s="19">
        <v>7</v>
      </c>
      <c r="C170" s="20" t="s">
        <v>50</v>
      </c>
      <c r="D170" s="28">
        <v>160</v>
      </c>
      <c r="E170" s="28" t="s">
        <v>421</v>
      </c>
      <c r="F170" s="19" t="s">
        <v>21</v>
      </c>
      <c r="G170" s="28" t="s">
        <v>62</v>
      </c>
      <c r="I170" s="28"/>
      <c r="J170" s="28"/>
      <c r="L170" s="28"/>
      <c r="M170" s="28"/>
      <c r="O170" s="28"/>
      <c r="P170" s="28"/>
      <c r="R170" s="28"/>
      <c r="S170" s="28"/>
      <c r="U170" s="28"/>
      <c r="V170" s="20"/>
      <c r="X170" s="28"/>
      <c r="Y170" s="53"/>
      <c r="Z170" s="56"/>
      <c r="AB170" s="20"/>
      <c r="AC170" s="28" t="s">
        <v>661</v>
      </c>
    </row>
    <row r="171" spans="1:29" x14ac:dyDescent="0.2">
      <c r="A171" s="19" t="s">
        <v>496</v>
      </c>
      <c r="B171" s="19">
        <v>8</v>
      </c>
      <c r="C171" s="20" t="s">
        <v>50</v>
      </c>
      <c r="D171" s="28">
        <v>160</v>
      </c>
      <c r="G171" s="28"/>
      <c r="I171" s="28"/>
      <c r="J171" s="28"/>
      <c r="L171" s="28"/>
      <c r="M171" s="28"/>
      <c r="O171" s="28"/>
      <c r="P171" s="28"/>
      <c r="R171" s="28"/>
      <c r="S171" s="28"/>
      <c r="U171" s="28"/>
      <c r="V171" s="20"/>
      <c r="X171" s="28"/>
      <c r="Y171" s="53"/>
      <c r="Z171" s="56" t="s">
        <v>527</v>
      </c>
      <c r="AA171" s="19" t="s">
        <v>57</v>
      </c>
      <c r="AB171" s="20" t="s">
        <v>61</v>
      </c>
    </row>
    <row r="172" spans="1:29" x14ac:dyDescent="0.2">
      <c r="A172" s="19" t="s">
        <v>496</v>
      </c>
      <c r="B172" s="19">
        <v>9</v>
      </c>
      <c r="C172" s="20" t="s">
        <v>50</v>
      </c>
      <c r="D172" s="28">
        <v>140</v>
      </c>
      <c r="G172" s="28"/>
      <c r="H172" s="28" t="s">
        <v>501</v>
      </c>
      <c r="I172" s="28"/>
      <c r="J172" s="20" t="s">
        <v>61</v>
      </c>
      <c r="L172" s="28"/>
      <c r="M172" s="28"/>
      <c r="O172" s="28"/>
      <c r="P172" s="28"/>
      <c r="R172" s="28"/>
      <c r="S172" s="28"/>
      <c r="T172" s="28" t="s">
        <v>513</v>
      </c>
      <c r="U172" s="28"/>
      <c r="V172" s="20" t="s">
        <v>61</v>
      </c>
      <c r="X172" s="28"/>
      <c r="Y172" s="53"/>
      <c r="Z172" s="56"/>
      <c r="AB172" s="20"/>
    </row>
    <row r="173" spans="1:29" x14ac:dyDescent="0.2">
      <c r="A173" s="19" t="s">
        <v>496</v>
      </c>
      <c r="B173" s="19">
        <v>11</v>
      </c>
      <c r="C173" s="20" t="s">
        <v>50</v>
      </c>
      <c r="D173" s="28">
        <v>120</v>
      </c>
      <c r="E173" s="28" t="s">
        <v>316</v>
      </c>
      <c r="F173" s="19" t="s">
        <v>57</v>
      </c>
      <c r="G173" s="28" t="s">
        <v>62</v>
      </c>
      <c r="H173" s="28" t="s">
        <v>502</v>
      </c>
      <c r="I173" s="28"/>
      <c r="J173" s="20" t="s">
        <v>61</v>
      </c>
      <c r="L173" s="28"/>
      <c r="M173" s="28"/>
      <c r="O173" s="28"/>
      <c r="P173" s="28"/>
      <c r="R173" s="28"/>
      <c r="S173" s="28"/>
      <c r="T173" s="28" t="s">
        <v>514</v>
      </c>
      <c r="U173" s="28"/>
      <c r="V173" s="20" t="s">
        <v>61</v>
      </c>
      <c r="W173" s="28" t="s">
        <v>522</v>
      </c>
      <c r="X173" s="28"/>
      <c r="Y173" s="53" t="s">
        <v>61</v>
      </c>
      <c r="Z173" s="56" t="s">
        <v>347</v>
      </c>
      <c r="AA173" s="19" t="s">
        <v>57</v>
      </c>
      <c r="AB173" s="20" t="s">
        <v>61</v>
      </c>
    </row>
    <row r="174" spans="1:29" x14ac:dyDescent="0.2">
      <c r="A174" s="19" t="s">
        <v>496</v>
      </c>
      <c r="B174" s="19">
        <v>11</v>
      </c>
      <c r="C174" s="20" t="s">
        <v>50</v>
      </c>
      <c r="D174" s="28">
        <v>120</v>
      </c>
      <c r="E174" s="28" t="s">
        <v>422</v>
      </c>
      <c r="F174" s="19" t="s">
        <v>57</v>
      </c>
      <c r="G174" s="28" t="s">
        <v>62</v>
      </c>
      <c r="I174" s="28"/>
      <c r="J174" s="28"/>
      <c r="L174" s="28"/>
      <c r="M174" s="28"/>
      <c r="O174" s="28"/>
      <c r="P174" s="28"/>
      <c r="R174" s="28"/>
      <c r="S174" s="28"/>
      <c r="U174" s="28"/>
      <c r="V174" s="20"/>
      <c r="X174" s="28"/>
      <c r="Y174" s="53"/>
      <c r="Z174" s="56"/>
      <c r="AB174" s="20"/>
    </row>
    <row r="175" spans="1:29" x14ac:dyDescent="0.2">
      <c r="A175" s="19" t="s">
        <v>496</v>
      </c>
      <c r="B175" s="19">
        <v>13</v>
      </c>
      <c r="C175" s="20" t="s">
        <v>50</v>
      </c>
      <c r="D175" s="28">
        <v>100</v>
      </c>
      <c r="G175" s="28"/>
      <c r="H175" s="28" t="s">
        <v>503</v>
      </c>
      <c r="I175" s="28"/>
      <c r="J175" s="20" t="s">
        <v>61</v>
      </c>
      <c r="L175" s="28"/>
      <c r="M175" s="28"/>
      <c r="O175" s="28"/>
      <c r="P175" s="28"/>
      <c r="R175" s="28"/>
      <c r="S175" s="28"/>
      <c r="T175" s="28" t="s">
        <v>515</v>
      </c>
      <c r="U175" s="28"/>
      <c r="V175" s="20" t="s">
        <v>61</v>
      </c>
      <c r="X175" s="28"/>
      <c r="Y175" s="53"/>
      <c r="Z175" s="56"/>
      <c r="AB175" s="20"/>
    </row>
    <row r="176" spans="1:29" x14ac:dyDescent="0.2">
      <c r="A176" s="19" t="s">
        <v>496</v>
      </c>
      <c r="B176" s="19">
        <v>14</v>
      </c>
      <c r="C176" s="20" t="s">
        <v>50</v>
      </c>
      <c r="D176" s="28">
        <v>100</v>
      </c>
      <c r="E176" s="28" t="s">
        <v>278</v>
      </c>
      <c r="F176" s="19" t="s">
        <v>57</v>
      </c>
      <c r="G176" s="28" t="s">
        <v>62</v>
      </c>
      <c r="I176" s="28"/>
      <c r="J176" s="28"/>
      <c r="L176" s="28"/>
      <c r="M176" s="28"/>
      <c r="O176" s="28"/>
      <c r="P176" s="28"/>
      <c r="R176" s="28"/>
      <c r="S176" s="28"/>
      <c r="U176" s="28"/>
      <c r="V176" s="20"/>
      <c r="X176" s="28"/>
      <c r="Y176" s="53"/>
      <c r="Z176" s="56"/>
      <c r="AB176" s="20"/>
    </row>
    <row r="177" spans="1:29" x14ac:dyDescent="0.2">
      <c r="A177" s="19" t="s">
        <v>496</v>
      </c>
      <c r="B177" s="19">
        <v>14</v>
      </c>
      <c r="C177" s="20" t="s">
        <v>50</v>
      </c>
      <c r="D177" s="28">
        <v>100</v>
      </c>
      <c r="E177" s="28" t="s">
        <v>285</v>
      </c>
      <c r="F177" s="19" t="s">
        <v>57</v>
      </c>
      <c r="G177" s="28" t="s">
        <v>62</v>
      </c>
      <c r="I177" s="28"/>
      <c r="J177" s="28"/>
      <c r="L177" s="28"/>
      <c r="M177" s="28"/>
      <c r="O177" s="28"/>
      <c r="P177" s="28"/>
      <c r="R177" s="28"/>
      <c r="S177" s="28"/>
      <c r="U177" s="28"/>
      <c r="V177" s="20"/>
      <c r="X177" s="28"/>
      <c r="Y177" s="53"/>
      <c r="Z177" s="56"/>
      <c r="AB177" s="20"/>
    </row>
    <row r="178" spans="1:29" x14ac:dyDescent="0.2">
      <c r="A178" s="19" t="s">
        <v>496</v>
      </c>
      <c r="B178" s="19">
        <v>15</v>
      </c>
      <c r="C178" s="20" t="s">
        <v>50</v>
      </c>
      <c r="D178" s="28">
        <v>80</v>
      </c>
      <c r="G178" s="28"/>
      <c r="H178" s="28" t="s">
        <v>504</v>
      </c>
      <c r="I178" s="28"/>
      <c r="J178" s="20" t="s">
        <v>61</v>
      </c>
      <c r="L178" s="28"/>
      <c r="M178" s="28"/>
      <c r="O178" s="28"/>
      <c r="P178" s="28"/>
      <c r="R178" s="28"/>
      <c r="S178" s="28"/>
      <c r="T178" s="28" t="s">
        <v>516</v>
      </c>
      <c r="U178" s="28"/>
      <c r="V178" s="20" t="s">
        <v>61</v>
      </c>
      <c r="W178" s="28" t="s">
        <v>523</v>
      </c>
      <c r="X178" s="28"/>
      <c r="Y178" s="53" t="s">
        <v>61</v>
      </c>
      <c r="Z178" s="56"/>
      <c r="AB178" s="20"/>
    </row>
    <row r="179" spans="1:29" x14ac:dyDescent="0.2">
      <c r="A179" s="19" t="s">
        <v>496</v>
      </c>
      <c r="B179" s="19">
        <v>16</v>
      </c>
      <c r="C179" s="20" t="s">
        <v>50</v>
      </c>
      <c r="D179" s="28">
        <v>80</v>
      </c>
      <c r="E179" s="28" t="s">
        <v>286</v>
      </c>
      <c r="F179" s="19" t="s">
        <v>57</v>
      </c>
      <c r="G179" s="28" t="s">
        <v>62</v>
      </c>
      <c r="I179" s="28"/>
      <c r="J179" s="28"/>
      <c r="L179" s="28"/>
      <c r="M179" s="28"/>
      <c r="O179" s="28"/>
      <c r="P179" s="28"/>
      <c r="R179" s="28"/>
      <c r="S179" s="28"/>
      <c r="U179" s="28"/>
      <c r="V179" s="20"/>
      <c r="X179" s="28"/>
      <c r="Y179" s="53"/>
      <c r="Z179" s="56" t="s">
        <v>379</v>
      </c>
      <c r="AA179" s="19" t="s">
        <v>57</v>
      </c>
      <c r="AB179" s="20" t="s">
        <v>61</v>
      </c>
    </row>
    <row r="180" spans="1:29" x14ac:dyDescent="0.2">
      <c r="A180" s="19" t="s">
        <v>496</v>
      </c>
      <c r="B180" s="19">
        <v>16</v>
      </c>
      <c r="C180" s="20" t="s">
        <v>50</v>
      </c>
      <c r="D180" s="28">
        <v>80</v>
      </c>
      <c r="E180" s="28" t="s">
        <v>298</v>
      </c>
      <c r="F180" s="19" t="s">
        <v>21</v>
      </c>
      <c r="G180" s="28" t="s">
        <v>62</v>
      </c>
      <c r="I180" s="28"/>
      <c r="J180" s="28"/>
      <c r="L180" s="28"/>
      <c r="M180" s="28"/>
      <c r="O180" s="28"/>
      <c r="P180" s="28"/>
      <c r="R180" s="28"/>
      <c r="S180" s="28"/>
      <c r="U180" s="28"/>
      <c r="V180" s="20"/>
      <c r="X180" s="28"/>
      <c r="Y180" s="53"/>
      <c r="Z180" s="56"/>
      <c r="AB180" s="20"/>
      <c r="AC180" s="28" t="s">
        <v>662</v>
      </c>
    </row>
    <row r="181" spans="1:29" x14ac:dyDescent="0.2">
      <c r="A181" s="19" t="s">
        <v>496</v>
      </c>
      <c r="B181" s="19">
        <v>17</v>
      </c>
      <c r="C181" s="20" t="s">
        <v>50</v>
      </c>
      <c r="D181" s="28">
        <v>60</v>
      </c>
      <c r="G181" s="28"/>
      <c r="H181" s="28" t="s">
        <v>505</v>
      </c>
      <c r="I181" s="28"/>
      <c r="J181" s="20" t="s">
        <v>61</v>
      </c>
      <c r="L181" s="28"/>
      <c r="M181" s="28"/>
      <c r="O181" s="28"/>
      <c r="P181" s="28"/>
      <c r="R181" s="28"/>
      <c r="S181" s="28"/>
      <c r="T181" s="28" t="s">
        <v>517</v>
      </c>
      <c r="U181" s="28"/>
      <c r="V181" s="20" t="s">
        <v>61</v>
      </c>
      <c r="X181" s="28"/>
      <c r="Y181" s="53"/>
      <c r="Z181" s="56"/>
      <c r="AB181" s="20"/>
    </row>
    <row r="182" spans="1:29" x14ac:dyDescent="0.2">
      <c r="A182" s="19" t="s">
        <v>496</v>
      </c>
      <c r="B182" s="19">
        <v>18</v>
      </c>
      <c r="C182" s="20" t="s">
        <v>50</v>
      </c>
      <c r="D182" s="28">
        <v>60</v>
      </c>
      <c r="E182" s="28" t="s">
        <v>419</v>
      </c>
      <c r="F182" s="19" t="s">
        <v>57</v>
      </c>
      <c r="G182" s="28" t="s">
        <v>62</v>
      </c>
      <c r="I182" s="28"/>
      <c r="J182" s="28"/>
      <c r="L182" s="28"/>
      <c r="M182" s="28"/>
      <c r="O182" s="28"/>
      <c r="P182" s="28"/>
      <c r="R182" s="28"/>
      <c r="S182" s="28"/>
      <c r="U182" s="28"/>
      <c r="V182" s="20"/>
      <c r="X182" s="28"/>
      <c r="Y182" s="53"/>
      <c r="Z182" s="56" t="s">
        <v>314</v>
      </c>
      <c r="AA182" s="19" t="s">
        <v>57</v>
      </c>
      <c r="AB182" s="20" t="s">
        <v>61</v>
      </c>
    </row>
    <row r="183" spans="1:29" x14ac:dyDescent="0.2">
      <c r="A183" s="19" t="s">
        <v>496</v>
      </c>
      <c r="B183" s="19">
        <v>18</v>
      </c>
      <c r="C183" s="20" t="s">
        <v>50</v>
      </c>
      <c r="D183" s="28">
        <v>60</v>
      </c>
      <c r="E183" s="28" t="s">
        <v>321</v>
      </c>
      <c r="F183" s="19" t="s">
        <v>57</v>
      </c>
      <c r="G183" s="28" t="s">
        <v>62</v>
      </c>
      <c r="I183" s="28"/>
      <c r="J183" s="28"/>
      <c r="L183" s="28"/>
      <c r="M183" s="28"/>
      <c r="O183" s="28"/>
      <c r="P183" s="28"/>
      <c r="R183" s="28"/>
      <c r="S183" s="28"/>
      <c r="U183" s="28"/>
      <c r="V183" s="20"/>
      <c r="X183" s="28"/>
      <c r="Y183" s="53"/>
      <c r="Z183" s="56"/>
      <c r="AB183" s="20"/>
    </row>
    <row r="184" spans="1:29" x14ac:dyDescent="0.2">
      <c r="A184" s="19" t="s">
        <v>496</v>
      </c>
      <c r="B184" s="19">
        <v>19</v>
      </c>
      <c r="C184" s="20" t="s">
        <v>50</v>
      </c>
      <c r="D184" s="28">
        <v>40</v>
      </c>
      <c r="G184" s="28"/>
      <c r="H184" s="28" t="s">
        <v>506</v>
      </c>
      <c r="I184" s="28"/>
      <c r="J184" s="20" t="s">
        <v>61</v>
      </c>
      <c r="L184" s="28"/>
      <c r="M184" s="28"/>
      <c r="O184" s="28"/>
      <c r="P184" s="28"/>
      <c r="R184" s="28"/>
      <c r="S184" s="28"/>
      <c r="T184" s="28" t="s">
        <v>518</v>
      </c>
      <c r="U184" s="28"/>
      <c r="V184" s="20" t="s">
        <v>61</v>
      </c>
      <c r="W184" s="28" t="s">
        <v>524</v>
      </c>
      <c r="X184" s="28"/>
      <c r="Y184" s="53" t="s">
        <v>61</v>
      </c>
      <c r="Z184" s="56"/>
      <c r="AB184" s="20"/>
    </row>
    <row r="185" spans="1:29" x14ac:dyDescent="0.2">
      <c r="A185" s="19" t="s">
        <v>496</v>
      </c>
      <c r="B185" s="19">
        <v>20</v>
      </c>
      <c r="C185" s="20" t="s">
        <v>50</v>
      </c>
      <c r="D185" s="28">
        <v>40</v>
      </c>
      <c r="G185" s="28"/>
      <c r="I185" s="28"/>
      <c r="J185" s="28"/>
      <c r="L185" s="28"/>
      <c r="M185" s="28"/>
      <c r="O185" s="28"/>
      <c r="P185" s="28"/>
      <c r="R185" s="28"/>
      <c r="S185" s="28"/>
      <c r="U185" s="28"/>
      <c r="V185" s="20"/>
      <c r="X185" s="28"/>
      <c r="Y185" s="53"/>
      <c r="Z185" s="56" t="s">
        <v>300</v>
      </c>
      <c r="AA185" s="19" t="s">
        <v>57</v>
      </c>
      <c r="AB185" s="20" t="s">
        <v>61</v>
      </c>
    </row>
    <row r="186" spans="1:29" x14ac:dyDescent="0.2">
      <c r="A186" s="19" t="s">
        <v>496</v>
      </c>
      <c r="B186" s="19">
        <v>21</v>
      </c>
      <c r="C186" s="20" t="s">
        <v>50</v>
      </c>
      <c r="D186" s="28">
        <v>20</v>
      </c>
      <c r="E186" s="28" t="s">
        <v>293</v>
      </c>
      <c r="F186" s="19" t="s">
        <v>57</v>
      </c>
      <c r="G186" s="28" t="s">
        <v>62</v>
      </c>
      <c r="H186" s="28" t="s">
        <v>507</v>
      </c>
      <c r="I186" s="28"/>
      <c r="J186" s="20" t="s">
        <v>61</v>
      </c>
      <c r="L186" s="28"/>
      <c r="M186" s="28"/>
      <c r="O186" s="28"/>
      <c r="P186" s="28"/>
      <c r="R186" s="28"/>
      <c r="S186" s="28"/>
      <c r="T186" s="28" t="s">
        <v>519</v>
      </c>
      <c r="U186" s="28"/>
      <c r="V186" s="20" t="s">
        <v>61</v>
      </c>
      <c r="X186" s="28"/>
      <c r="Y186" s="53"/>
      <c r="Z186" s="56"/>
      <c r="AB186" s="20"/>
    </row>
    <row r="187" spans="1:29" x14ac:dyDescent="0.2">
      <c r="A187" s="19" t="s">
        <v>496</v>
      </c>
      <c r="B187" s="19">
        <v>21</v>
      </c>
      <c r="C187" s="20" t="s">
        <v>50</v>
      </c>
      <c r="D187" s="28">
        <v>20</v>
      </c>
      <c r="E187" s="28" t="s">
        <v>322</v>
      </c>
      <c r="F187" s="19" t="s">
        <v>57</v>
      </c>
      <c r="G187" s="28" t="s">
        <v>62</v>
      </c>
      <c r="I187" s="28"/>
      <c r="J187" s="28"/>
      <c r="L187" s="28"/>
      <c r="M187" s="28"/>
      <c r="O187" s="28"/>
      <c r="P187" s="28"/>
      <c r="R187" s="28"/>
      <c r="S187" s="28"/>
      <c r="U187" s="28"/>
      <c r="V187" s="20"/>
      <c r="X187" s="28"/>
      <c r="Y187" s="53"/>
      <c r="Z187" s="56"/>
      <c r="AB187" s="20"/>
    </row>
    <row r="188" spans="1:29" x14ac:dyDescent="0.2">
      <c r="A188" s="19" t="s">
        <v>496</v>
      </c>
      <c r="B188" s="19">
        <v>22</v>
      </c>
      <c r="C188" s="20" t="s">
        <v>50</v>
      </c>
      <c r="D188" s="28">
        <v>20</v>
      </c>
      <c r="G188" s="28"/>
      <c r="I188" s="28"/>
      <c r="J188" s="28"/>
      <c r="L188" s="28"/>
      <c r="M188" s="28"/>
      <c r="O188" s="28"/>
      <c r="P188" s="28"/>
      <c r="R188" s="28"/>
      <c r="S188" s="28"/>
      <c r="U188" s="28"/>
      <c r="V188" s="20"/>
      <c r="X188" s="28"/>
      <c r="Y188" s="53"/>
      <c r="Z188" s="56" t="s">
        <v>385</v>
      </c>
      <c r="AA188" s="19" t="s">
        <v>57</v>
      </c>
      <c r="AB188" s="20" t="s">
        <v>61</v>
      </c>
    </row>
    <row r="189" spans="1:29" x14ac:dyDescent="0.2">
      <c r="A189" s="19" t="s">
        <v>496</v>
      </c>
      <c r="B189" s="19">
        <v>23</v>
      </c>
      <c r="C189" s="20" t="s">
        <v>50</v>
      </c>
      <c r="D189" s="28">
        <v>10</v>
      </c>
      <c r="E189" s="28" t="s">
        <v>294</v>
      </c>
      <c r="F189" s="19" t="s">
        <v>57</v>
      </c>
      <c r="G189" s="28" t="s">
        <v>62</v>
      </c>
      <c r="H189" s="28" t="s">
        <v>508</v>
      </c>
      <c r="I189" s="28"/>
      <c r="J189" s="20" t="s">
        <v>61</v>
      </c>
      <c r="L189" s="28"/>
      <c r="M189" s="28"/>
      <c r="O189" s="28"/>
      <c r="P189" s="28"/>
      <c r="R189" s="28"/>
      <c r="S189" s="28"/>
      <c r="T189" s="28" t="s">
        <v>520</v>
      </c>
      <c r="U189" s="28"/>
      <c r="V189" s="20" t="s">
        <v>61</v>
      </c>
      <c r="W189" s="28" t="s">
        <v>525</v>
      </c>
      <c r="X189" s="28"/>
      <c r="Y189" s="53" t="s">
        <v>61</v>
      </c>
      <c r="AB189" s="20"/>
    </row>
    <row r="190" spans="1:29" x14ac:dyDescent="0.2">
      <c r="A190" s="19" t="s">
        <v>496</v>
      </c>
      <c r="B190" s="19">
        <v>23</v>
      </c>
      <c r="C190" s="20" t="s">
        <v>50</v>
      </c>
      <c r="D190" s="28">
        <v>10</v>
      </c>
      <c r="E190" s="28" t="s">
        <v>328</v>
      </c>
      <c r="F190" s="19" t="s">
        <v>57</v>
      </c>
      <c r="G190" s="28" t="s">
        <v>62</v>
      </c>
      <c r="I190" s="28"/>
      <c r="J190" s="28"/>
      <c r="L190" s="28"/>
      <c r="M190" s="28"/>
      <c r="O190" s="28"/>
      <c r="P190" s="28"/>
      <c r="R190" s="28"/>
      <c r="S190" s="28"/>
      <c r="U190" s="28"/>
      <c r="V190" s="28"/>
      <c r="X190" s="28"/>
      <c r="Y190" s="53"/>
      <c r="AB190" s="20"/>
    </row>
    <row r="191" spans="1:29" x14ac:dyDescent="0.2">
      <c r="A191" s="19" t="s">
        <v>496</v>
      </c>
      <c r="B191" s="19">
        <v>24</v>
      </c>
      <c r="C191" s="20" t="s">
        <v>50</v>
      </c>
      <c r="D191" s="28">
        <v>10</v>
      </c>
      <c r="G191" s="28"/>
      <c r="I191" s="28"/>
      <c r="J191" s="28"/>
      <c r="L191" s="28"/>
      <c r="M191" s="28"/>
      <c r="O191" s="28"/>
      <c r="P191" s="28"/>
      <c r="R191" s="28"/>
      <c r="S191" s="28"/>
      <c r="U191" s="28"/>
      <c r="V191" s="28"/>
      <c r="X191" s="28"/>
      <c r="Y191" s="53"/>
      <c r="Z191" s="56" t="s">
        <v>408</v>
      </c>
      <c r="AA191" s="19" t="s">
        <v>57</v>
      </c>
      <c r="AB191" s="20" t="s">
        <v>61</v>
      </c>
    </row>
    <row r="192" spans="1:29" x14ac:dyDescent="0.2">
      <c r="A192" s="19" t="s">
        <v>528</v>
      </c>
      <c r="B192" s="19" t="s">
        <v>101</v>
      </c>
      <c r="C192" s="20" t="s">
        <v>50</v>
      </c>
      <c r="D192" s="28">
        <v>578</v>
      </c>
      <c r="E192" s="28" t="s">
        <v>278</v>
      </c>
      <c r="F192" s="19" t="s">
        <v>21</v>
      </c>
      <c r="G192" s="28" t="s">
        <v>62</v>
      </c>
      <c r="I192" s="28"/>
      <c r="J192" s="28"/>
      <c r="L192" s="28"/>
      <c r="M192" s="28"/>
      <c r="O192" s="28"/>
      <c r="P192" s="28"/>
      <c r="R192" s="28"/>
      <c r="S192" s="28"/>
      <c r="U192" s="28"/>
      <c r="V192" s="28"/>
      <c r="X192" s="28"/>
      <c r="Y192" s="53"/>
      <c r="AB192" s="20"/>
      <c r="AC192" s="28" t="s">
        <v>663</v>
      </c>
    </row>
    <row r="193" spans="1:29" x14ac:dyDescent="0.2">
      <c r="A193" s="19" t="s">
        <v>528</v>
      </c>
      <c r="B193" s="19" t="s">
        <v>101</v>
      </c>
      <c r="C193" s="20" t="s">
        <v>50</v>
      </c>
      <c r="D193" s="28">
        <v>578</v>
      </c>
      <c r="E193" s="28" t="s">
        <v>279</v>
      </c>
      <c r="F193" s="19" t="s">
        <v>21</v>
      </c>
      <c r="G193" s="28" t="s">
        <v>62</v>
      </c>
      <c r="I193" s="28"/>
      <c r="J193" s="28"/>
      <c r="L193" s="28"/>
      <c r="M193" s="28"/>
      <c r="O193" s="28"/>
      <c r="P193" s="28"/>
      <c r="R193" s="28"/>
      <c r="S193" s="28"/>
      <c r="U193" s="28"/>
      <c r="V193" s="28"/>
      <c r="X193" s="28"/>
      <c r="Y193" s="53"/>
      <c r="AB193" s="20"/>
      <c r="AC193" s="28" t="s">
        <v>663</v>
      </c>
    </row>
    <row r="194" spans="1:29" x14ac:dyDescent="0.2">
      <c r="A194" s="19" t="s">
        <v>528</v>
      </c>
      <c r="B194" s="19" t="s">
        <v>100</v>
      </c>
      <c r="C194" s="20" t="s">
        <v>50</v>
      </c>
      <c r="D194" s="28">
        <v>578</v>
      </c>
      <c r="G194" s="28"/>
      <c r="H194" s="28" t="s">
        <v>530</v>
      </c>
      <c r="I194" s="28"/>
      <c r="J194" s="20" t="s">
        <v>61</v>
      </c>
      <c r="L194" s="28"/>
      <c r="M194" s="28"/>
      <c r="O194" s="28"/>
      <c r="P194" s="28"/>
      <c r="R194" s="28"/>
      <c r="S194" s="28"/>
      <c r="U194" s="28"/>
      <c r="V194" s="28"/>
      <c r="W194" s="28" t="s">
        <v>531</v>
      </c>
      <c r="X194" s="28"/>
      <c r="Y194" s="53" t="s">
        <v>61</v>
      </c>
      <c r="Z194" s="56" t="s">
        <v>459</v>
      </c>
      <c r="AA194" s="19" t="s">
        <v>57</v>
      </c>
      <c r="AB194" s="20" t="s">
        <v>61</v>
      </c>
    </row>
    <row r="195" spans="1:29" x14ac:dyDescent="0.2">
      <c r="A195" s="19" t="s">
        <v>529</v>
      </c>
      <c r="B195" s="19" t="s">
        <v>101</v>
      </c>
      <c r="C195" s="20" t="s">
        <v>50</v>
      </c>
      <c r="D195" s="28">
        <v>80</v>
      </c>
      <c r="E195" s="28" t="s">
        <v>285</v>
      </c>
      <c r="F195" s="19" t="s">
        <v>21</v>
      </c>
      <c r="G195" s="28" t="s">
        <v>62</v>
      </c>
      <c r="I195" s="28"/>
      <c r="J195" s="28"/>
      <c r="L195" s="28"/>
      <c r="M195" s="28"/>
      <c r="O195" s="28"/>
      <c r="P195" s="28"/>
      <c r="R195" s="28"/>
      <c r="S195" s="28"/>
      <c r="U195" s="28"/>
      <c r="V195" s="28"/>
      <c r="X195" s="28"/>
      <c r="Y195" s="53"/>
      <c r="AB195" s="20"/>
      <c r="AC195" s="28" t="s">
        <v>663</v>
      </c>
    </row>
    <row r="196" spans="1:29" x14ac:dyDescent="0.2">
      <c r="A196" s="19" t="s">
        <v>529</v>
      </c>
      <c r="B196" s="19" t="s">
        <v>101</v>
      </c>
      <c r="C196" s="20" t="s">
        <v>50</v>
      </c>
      <c r="D196" s="28">
        <v>80</v>
      </c>
      <c r="E196" s="28" t="s">
        <v>286</v>
      </c>
      <c r="F196" s="19" t="s">
        <v>21</v>
      </c>
      <c r="G196" s="28" t="s">
        <v>62</v>
      </c>
      <c r="I196" s="28"/>
      <c r="J196" s="28"/>
      <c r="L196" s="28"/>
      <c r="M196" s="28"/>
      <c r="O196" s="28"/>
      <c r="P196" s="28"/>
      <c r="R196" s="28"/>
      <c r="S196" s="28"/>
      <c r="U196" s="28"/>
      <c r="V196" s="28"/>
      <c r="X196" s="28"/>
      <c r="Y196" s="53"/>
      <c r="AB196" s="20"/>
      <c r="AC196" s="28" t="s">
        <v>663</v>
      </c>
    </row>
    <row r="197" spans="1:29" x14ac:dyDescent="0.2">
      <c r="A197" s="19" t="s">
        <v>529</v>
      </c>
      <c r="B197" s="19" t="s">
        <v>100</v>
      </c>
      <c r="C197" s="20" t="s">
        <v>50</v>
      </c>
      <c r="D197" s="28">
        <v>80</v>
      </c>
      <c r="G197" s="28"/>
      <c r="H197" s="28" t="s">
        <v>532</v>
      </c>
      <c r="I197" s="28"/>
      <c r="J197" s="20" t="s">
        <v>61</v>
      </c>
      <c r="L197" s="28"/>
      <c r="M197" s="28"/>
      <c r="O197" s="28"/>
      <c r="P197" s="28"/>
      <c r="R197" s="28"/>
      <c r="S197" s="28"/>
      <c r="U197" s="28"/>
      <c r="V197" s="28"/>
      <c r="W197" s="28" t="s">
        <v>533</v>
      </c>
      <c r="X197" s="28"/>
      <c r="Y197" s="53" t="s">
        <v>61</v>
      </c>
      <c r="Z197" s="56" t="s">
        <v>379</v>
      </c>
      <c r="AA197" s="19" t="s">
        <v>57</v>
      </c>
      <c r="AB197" s="20" t="s">
        <v>61</v>
      </c>
    </row>
    <row r="198" spans="1:29" x14ac:dyDescent="0.2">
      <c r="C198" s="20"/>
      <c r="F198" s="28"/>
      <c r="G198" s="28"/>
      <c r="I198" s="28"/>
      <c r="J198" s="28"/>
      <c r="L198" s="28"/>
      <c r="M198" s="28"/>
      <c r="O198" s="28"/>
      <c r="P198" s="28"/>
      <c r="R198" s="28"/>
      <c r="S198" s="28"/>
      <c r="U198" s="28"/>
      <c r="V198" s="28"/>
      <c r="X198" s="28"/>
      <c r="Y198" s="28"/>
    </row>
    <row r="199" spans="1:29" x14ac:dyDescent="0.2">
      <c r="C199" s="20"/>
      <c r="F199" s="28"/>
      <c r="G199" s="28"/>
      <c r="I199" s="28"/>
      <c r="J199" s="28"/>
      <c r="L199" s="28"/>
      <c r="M199" s="28"/>
      <c r="O199" s="28"/>
      <c r="P199" s="28"/>
      <c r="R199" s="28"/>
      <c r="S199" s="28"/>
      <c r="U199" s="28"/>
      <c r="V199" s="28"/>
      <c r="X199" s="28"/>
      <c r="Y199" s="28"/>
    </row>
    <row r="200" spans="1:29" x14ac:dyDescent="0.2">
      <c r="C200" s="20"/>
      <c r="F200" s="28"/>
      <c r="G200" s="28"/>
      <c r="I200" s="28"/>
      <c r="J200" s="28"/>
      <c r="L200" s="28"/>
      <c r="M200" s="28"/>
      <c r="O200" s="28"/>
      <c r="P200" s="28"/>
      <c r="R200" s="28"/>
      <c r="S200" s="28"/>
      <c r="U200" s="28"/>
      <c r="V200" s="28"/>
      <c r="X200" s="28"/>
      <c r="Y200" s="28"/>
    </row>
    <row r="201" spans="1:29" x14ac:dyDescent="0.2">
      <c r="C201" s="20"/>
      <c r="F201" s="28"/>
      <c r="G201" s="28"/>
      <c r="I201" s="28"/>
      <c r="J201" s="28"/>
      <c r="L201" s="28"/>
      <c r="M201" s="28"/>
      <c r="O201" s="28"/>
      <c r="P201" s="28"/>
      <c r="R201" s="28"/>
      <c r="S201" s="28"/>
      <c r="U201" s="28"/>
      <c r="V201" s="28"/>
      <c r="X201" s="28"/>
      <c r="Y201" s="28"/>
    </row>
    <row r="202" spans="1:29" x14ac:dyDescent="0.2">
      <c r="C202" s="20"/>
      <c r="F202" s="28"/>
      <c r="G202" s="28"/>
      <c r="I202" s="28"/>
      <c r="J202" s="28"/>
      <c r="L202" s="28"/>
      <c r="M202" s="28"/>
      <c r="O202" s="28"/>
      <c r="P202" s="28"/>
      <c r="R202" s="28"/>
      <c r="S202" s="28"/>
      <c r="U202" s="28"/>
      <c r="V202" s="28"/>
      <c r="X202" s="28"/>
      <c r="Y202" s="28"/>
    </row>
    <row r="203" spans="1:29" x14ac:dyDescent="0.2">
      <c r="C203" s="20"/>
      <c r="F203" s="28"/>
      <c r="G203" s="28"/>
      <c r="I203" s="28"/>
      <c r="J203" s="28"/>
      <c r="L203" s="28"/>
      <c r="M203" s="28"/>
      <c r="O203" s="28"/>
      <c r="P203" s="28"/>
      <c r="R203" s="28"/>
      <c r="S203" s="28"/>
      <c r="U203" s="28"/>
      <c r="V203" s="28"/>
      <c r="X203" s="28"/>
      <c r="Y203" s="28"/>
    </row>
    <row r="204" spans="1:29" x14ac:dyDescent="0.2">
      <c r="C204" s="20"/>
      <c r="F204" s="28"/>
      <c r="G204" s="28"/>
      <c r="I204" s="28"/>
      <c r="J204" s="28"/>
      <c r="L204" s="28"/>
      <c r="M204" s="28"/>
      <c r="O204" s="28"/>
      <c r="P204" s="28"/>
      <c r="R204" s="28"/>
      <c r="S204" s="28"/>
      <c r="U204" s="28"/>
      <c r="V204" s="28"/>
      <c r="X204" s="28"/>
      <c r="Y204" s="28"/>
    </row>
    <row r="205" spans="1:29" x14ac:dyDescent="0.2">
      <c r="C205" s="20"/>
      <c r="F205" s="28"/>
      <c r="G205" s="28"/>
      <c r="I205" s="28"/>
      <c r="J205" s="28"/>
      <c r="L205" s="28"/>
      <c r="M205" s="28"/>
      <c r="O205" s="28"/>
      <c r="P205" s="28"/>
      <c r="R205" s="28"/>
      <c r="S205" s="28"/>
      <c r="U205" s="28"/>
      <c r="V205" s="28"/>
      <c r="X205" s="28"/>
      <c r="Y205" s="28"/>
    </row>
    <row r="206" spans="1:29" x14ac:dyDescent="0.2">
      <c r="C206" s="20"/>
      <c r="F206" s="28"/>
      <c r="G206" s="28"/>
      <c r="I206" s="28"/>
      <c r="J206" s="28"/>
      <c r="L206" s="28"/>
      <c r="M206" s="28"/>
      <c r="O206" s="28"/>
      <c r="P206" s="28"/>
      <c r="R206" s="28"/>
      <c r="S206" s="28"/>
      <c r="U206" s="28"/>
      <c r="V206" s="28"/>
      <c r="X206" s="28"/>
      <c r="Y206" s="28"/>
    </row>
    <row r="207" spans="1:29" x14ac:dyDescent="0.2">
      <c r="C207" s="20"/>
      <c r="F207" s="28"/>
      <c r="G207" s="28"/>
      <c r="I207" s="28"/>
      <c r="J207" s="28"/>
      <c r="L207" s="28"/>
      <c r="M207" s="28"/>
      <c r="O207" s="28"/>
      <c r="P207" s="28"/>
      <c r="R207" s="28"/>
      <c r="S207" s="28"/>
      <c r="U207" s="28"/>
      <c r="V207" s="28"/>
      <c r="X207" s="28"/>
      <c r="Y207" s="28"/>
    </row>
    <row r="208" spans="1:29" x14ac:dyDescent="0.2">
      <c r="C208" s="20"/>
      <c r="F208" s="28"/>
      <c r="G208" s="28"/>
      <c r="I208" s="28"/>
      <c r="J208" s="28"/>
      <c r="L208" s="28"/>
      <c r="M208" s="28"/>
      <c r="O208" s="28"/>
      <c r="P208" s="28"/>
      <c r="R208" s="28"/>
      <c r="S208" s="28"/>
      <c r="U208" s="28"/>
      <c r="V208" s="28"/>
      <c r="X208" s="28"/>
      <c r="Y208" s="28"/>
    </row>
    <row r="209" spans="3:25" x14ac:dyDescent="0.2">
      <c r="C209" s="20"/>
      <c r="F209" s="28"/>
      <c r="G209" s="28"/>
      <c r="I209" s="28"/>
      <c r="J209" s="28"/>
      <c r="L209" s="28"/>
      <c r="M209" s="28"/>
      <c r="O209" s="28"/>
      <c r="P209" s="28"/>
      <c r="R209" s="28"/>
      <c r="S209" s="28"/>
      <c r="U209" s="28"/>
      <c r="V209" s="28"/>
      <c r="X209" s="28"/>
      <c r="Y209" s="28"/>
    </row>
    <row r="210" spans="3:25" x14ac:dyDescent="0.2">
      <c r="C210" s="20"/>
      <c r="F210" s="28"/>
      <c r="G210" s="28"/>
      <c r="I210" s="28"/>
      <c r="J210" s="28"/>
      <c r="L210" s="28"/>
      <c r="M210" s="28"/>
      <c r="O210" s="28"/>
      <c r="P210" s="28"/>
      <c r="R210" s="28"/>
      <c r="S210" s="28"/>
      <c r="U210" s="28"/>
      <c r="V210" s="28"/>
      <c r="X210" s="28"/>
      <c r="Y210" s="28"/>
    </row>
    <row r="211" spans="3:25" x14ac:dyDescent="0.2">
      <c r="C211" s="20"/>
      <c r="F211" s="28"/>
      <c r="G211" s="28"/>
      <c r="I211" s="28"/>
      <c r="J211" s="28"/>
      <c r="L211" s="28"/>
      <c r="M211" s="28"/>
      <c r="O211" s="28"/>
      <c r="P211" s="28"/>
      <c r="R211" s="28"/>
      <c r="S211" s="28"/>
      <c r="U211" s="28"/>
      <c r="V211" s="28"/>
      <c r="X211" s="28"/>
      <c r="Y211" s="28"/>
    </row>
    <row r="212" spans="3:25" x14ac:dyDescent="0.2">
      <c r="C212" s="20"/>
      <c r="F212" s="28"/>
      <c r="G212" s="28"/>
      <c r="I212" s="28"/>
      <c r="J212" s="28"/>
      <c r="L212" s="28"/>
      <c r="M212" s="28"/>
      <c r="O212" s="28"/>
      <c r="P212" s="28"/>
      <c r="R212" s="28"/>
      <c r="S212" s="28"/>
      <c r="U212" s="28"/>
      <c r="V212" s="28"/>
      <c r="X212" s="28"/>
      <c r="Y212" s="28"/>
    </row>
    <row r="213" spans="3:25" x14ac:dyDescent="0.2">
      <c r="C213" s="20"/>
      <c r="F213" s="28"/>
      <c r="G213" s="28"/>
      <c r="I213" s="28"/>
      <c r="J213" s="28"/>
      <c r="L213" s="28"/>
      <c r="M213" s="28"/>
      <c r="O213" s="28"/>
      <c r="P213" s="28"/>
      <c r="R213" s="28"/>
      <c r="S213" s="28"/>
      <c r="U213" s="28"/>
      <c r="V213" s="28"/>
      <c r="X213" s="28"/>
      <c r="Y213" s="28"/>
    </row>
    <row r="214" spans="3:25" x14ac:dyDescent="0.2">
      <c r="C214" s="20"/>
    </row>
    <row r="215" spans="3:25" x14ac:dyDescent="0.2">
      <c r="C215" s="20"/>
    </row>
    <row r="216" spans="3:25" x14ac:dyDescent="0.2">
      <c r="C216" s="20"/>
    </row>
    <row r="217" spans="3:25" x14ac:dyDescent="0.2">
      <c r="C217" s="20"/>
    </row>
    <row r="218" spans="3:25" x14ac:dyDescent="0.2">
      <c r="C218" s="20"/>
    </row>
    <row r="219" spans="3:25" x14ac:dyDescent="0.2">
      <c r="C219" s="20"/>
    </row>
    <row r="220" spans="3:25" x14ac:dyDescent="0.2">
      <c r="C220" s="20"/>
    </row>
    <row r="221" spans="3:25" x14ac:dyDescent="0.2">
      <c r="C221" s="20"/>
    </row>
    <row r="222" spans="3:25" x14ac:dyDescent="0.2">
      <c r="C222" s="20"/>
    </row>
    <row r="223" spans="3:25" x14ac:dyDescent="0.2">
      <c r="C223" s="20"/>
    </row>
    <row r="224" spans="3:25" x14ac:dyDescent="0.2">
      <c r="C224" s="20"/>
    </row>
    <row r="225" spans="3:3" x14ac:dyDescent="0.2">
      <c r="C225" s="20"/>
    </row>
    <row r="226" spans="3:3" x14ac:dyDescent="0.2">
      <c r="C226" s="20"/>
    </row>
    <row r="227" spans="3:3" x14ac:dyDescent="0.2">
      <c r="C227" s="20"/>
    </row>
    <row r="228" spans="3:3" x14ac:dyDescent="0.2">
      <c r="C228" s="20"/>
    </row>
    <row r="229" spans="3:3" x14ac:dyDescent="0.2">
      <c r="C229" s="20"/>
    </row>
    <row r="230" spans="3:3" x14ac:dyDescent="0.2">
      <c r="C230" s="20"/>
    </row>
    <row r="231" spans="3:3" x14ac:dyDescent="0.2">
      <c r="C231" s="20"/>
    </row>
    <row r="232" spans="3:3" x14ac:dyDescent="0.2">
      <c r="C232" s="20"/>
    </row>
    <row r="233" spans="3:3" x14ac:dyDescent="0.2">
      <c r="C233" s="20"/>
    </row>
    <row r="234" spans="3:3" x14ac:dyDescent="0.2">
      <c r="C234" s="20"/>
    </row>
    <row r="235" spans="3:3" x14ac:dyDescent="0.2">
      <c r="C235" s="20"/>
    </row>
    <row r="236" spans="3:3" x14ac:dyDescent="0.2">
      <c r="C236" s="20"/>
    </row>
    <row r="237" spans="3:3" x14ac:dyDescent="0.2">
      <c r="C237" s="20"/>
    </row>
    <row r="238" spans="3:3" x14ac:dyDescent="0.2">
      <c r="C238" s="20"/>
    </row>
    <row r="239" spans="3:3" x14ac:dyDescent="0.2">
      <c r="C239" s="20"/>
    </row>
    <row r="240" spans="3:3" x14ac:dyDescent="0.2">
      <c r="C240" s="20"/>
    </row>
    <row r="241" spans="3:3" x14ac:dyDescent="0.2">
      <c r="C241" s="20"/>
    </row>
    <row r="242" spans="3:3" x14ac:dyDescent="0.2">
      <c r="C242" s="20"/>
    </row>
    <row r="243" spans="3:3" x14ac:dyDescent="0.2">
      <c r="C243" s="20"/>
    </row>
    <row r="244" spans="3:3" x14ac:dyDescent="0.2">
      <c r="C244" s="20"/>
    </row>
    <row r="245" spans="3:3" x14ac:dyDescent="0.2">
      <c r="C245" s="20"/>
    </row>
    <row r="246" spans="3:3" x14ac:dyDescent="0.2">
      <c r="C246" s="20"/>
    </row>
    <row r="247" spans="3:3" x14ac:dyDescent="0.2">
      <c r="C247" s="20"/>
    </row>
    <row r="248" spans="3:3" x14ac:dyDescent="0.2">
      <c r="C248" s="20"/>
    </row>
    <row r="249" spans="3:3" x14ac:dyDescent="0.2">
      <c r="C249" s="20"/>
    </row>
    <row r="250" spans="3:3" x14ac:dyDescent="0.2">
      <c r="C250" s="20"/>
    </row>
    <row r="251" spans="3:3" x14ac:dyDescent="0.2">
      <c r="C251" s="20"/>
    </row>
    <row r="252" spans="3:3" x14ac:dyDescent="0.2">
      <c r="C252" s="20"/>
    </row>
    <row r="253" spans="3:3" x14ac:dyDescent="0.2">
      <c r="C253" s="20"/>
    </row>
    <row r="254" spans="3:3" x14ac:dyDescent="0.2">
      <c r="C254" s="20"/>
    </row>
    <row r="255" spans="3:3" x14ac:dyDescent="0.2">
      <c r="C255" s="20"/>
    </row>
    <row r="256" spans="3:3" x14ac:dyDescent="0.2">
      <c r="C256" s="20"/>
    </row>
    <row r="257" spans="3:3" x14ac:dyDescent="0.2">
      <c r="C257" s="20"/>
    </row>
    <row r="258" spans="3:3" x14ac:dyDescent="0.2">
      <c r="C258" s="20"/>
    </row>
    <row r="259" spans="3:3" x14ac:dyDescent="0.2">
      <c r="C259" s="20"/>
    </row>
    <row r="260" spans="3:3" x14ac:dyDescent="0.2">
      <c r="C260" s="20"/>
    </row>
    <row r="261" spans="3:3" x14ac:dyDescent="0.2">
      <c r="C261" s="20"/>
    </row>
    <row r="262" spans="3:3" x14ac:dyDescent="0.2">
      <c r="C262" s="20"/>
    </row>
    <row r="263" spans="3:3" x14ac:dyDescent="0.2">
      <c r="C263" s="20"/>
    </row>
    <row r="264" spans="3:3" x14ac:dyDescent="0.2">
      <c r="C264" s="20"/>
    </row>
    <row r="265" spans="3:3" x14ac:dyDescent="0.2">
      <c r="C265" s="20"/>
    </row>
    <row r="266" spans="3:3" x14ac:dyDescent="0.2">
      <c r="C266" s="20"/>
    </row>
    <row r="267" spans="3:3" x14ac:dyDescent="0.2">
      <c r="C267" s="20"/>
    </row>
    <row r="268" spans="3:3" x14ac:dyDescent="0.2">
      <c r="C268" s="20"/>
    </row>
    <row r="269" spans="3:3" x14ac:dyDescent="0.2">
      <c r="C269" s="20"/>
    </row>
    <row r="270" spans="3:3" x14ac:dyDescent="0.2">
      <c r="C270" s="20"/>
    </row>
    <row r="271" spans="3:3" x14ac:dyDescent="0.2">
      <c r="C271" s="20"/>
    </row>
    <row r="272" spans="3:3" x14ac:dyDescent="0.2">
      <c r="C272" s="20"/>
    </row>
    <row r="273" spans="3:3" x14ac:dyDescent="0.2">
      <c r="C273" s="20"/>
    </row>
    <row r="274" spans="3:3" x14ac:dyDescent="0.2">
      <c r="C274" s="20"/>
    </row>
    <row r="275" spans="3:3" x14ac:dyDescent="0.2">
      <c r="C275" s="20"/>
    </row>
    <row r="276" spans="3:3" x14ac:dyDescent="0.2">
      <c r="C276" s="20"/>
    </row>
    <row r="277" spans="3:3" x14ac:dyDescent="0.2">
      <c r="C277" s="20"/>
    </row>
    <row r="278" spans="3:3" x14ac:dyDescent="0.2">
      <c r="C278" s="20"/>
    </row>
    <row r="279" spans="3:3" x14ac:dyDescent="0.2">
      <c r="C279" s="20"/>
    </row>
    <row r="280" spans="3:3" x14ac:dyDescent="0.2">
      <c r="C280" s="20"/>
    </row>
    <row r="281" spans="3:3" x14ac:dyDescent="0.2">
      <c r="C281" s="20"/>
    </row>
    <row r="282" spans="3:3" x14ac:dyDescent="0.2">
      <c r="C282" s="20"/>
    </row>
    <row r="283" spans="3:3" x14ac:dyDescent="0.2">
      <c r="C283" s="20"/>
    </row>
    <row r="284" spans="3:3" x14ac:dyDescent="0.2">
      <c r="C284" s="20"/>
    </row>
    <row r="285" spans="3:3" x14ac:dyDescent="0.2">
      <c r="C285" s="20"/>
    </row>
    <row r="286" spans="3:3" x14ac:dyDescent="0.2">
      <c r="C286" s="20"/>
    </row>
    <row r="287" spans="3:3" x14ac:dyDescent="0.2">
      <c r="C287" s="20"/>
    </row>
    <row r="288" spans="3:3" x14ac:dyDescent="0.2">
      <c r="C288" s="20"/>
    </row>
    <row r="289" spans="3:3" x14ac:dyDescent="0.2">
      <c r="C289" s="20"/>
    </row>
    <row r="290" spans="3:3" x14ac:dyDescent="0.2">
      <c r="C290" s="20"/>
    </row>
    <row r="291" spans="3:3" x14ac:dyDescent="0.2">
      <c r="C291" s="20"/>
    </row>
    <row r="292" spans="3:3" x14ac:dyDescent="0.2">
      <c r="C292" s="20"/>
    </row>
    <row r="293" spans="3:3" x14ac:dyDescent="0.2">
      <c r="C293" s="20"/>
    </row>
    <row r="294" spans="3:3" x14ac:dyDescent="0.2">
      <c r="C294" s="20"/>
    </row>
    <row r="295" spans="3:3" x14ac:dyDescent="0.2">
      <c r="C295" s="20"/>
    </row>
    <row r="296" spans="3:3" x14ac:dyDescent="0.2">
      <c r="C296" s="20"/>
    </row>
    <row r="297" spans="3:3" x14ac:dyDescent="0.2">
      <c r="C297" s="20"/>
    </row>
    <row r="298" spans="3:3" x14ac:dyDescent="0.2">
      <c r="C298" s="20"/>
    </row>
    <row r="299" spans="3:3" x14ac:dyDescent="0.2">
      <c r="C299" s="20"/>
    </row>
    <row r="300" spans="3:3" x14ac:dyDescent="0.2">
      <c r="C300" s="20"/>
    </row>
    <row r="301" spans="3:3" x14ac:dyDescent="0.2">
      <c r="C301" s="20"/>
    </row>
    <row r="302" spans="3:3" x14ac:dyDescent="0.2">
      <c r="C302" s="20"/>
    </row>
    <row r="303" spans="3:3" x14ac:dyDescent="0.2">
      <c r="C303" s="20"/>
    </row>
    <row r="304" spans="3:3" x14ac:dyDescent="0.2">
      <c r="C304" s="20"/>
    </row>
    <row r="305" spans="3:3" x14ac:dyDescent="0.2">
      <c r="C305" s="20"/>
    </row>
    <row r="306" spans="3:3" x14ac:dyDescent="0.2">
      <c r="C306" s="20"/>
    </row>
    <row r="307" spans="3:3" x14ac:dyDescent="0.2">
      <c r="C307" s="20"/>
    </row>
    <row r="308" spans="3:3" x14ac:dyDescent="0.2">
      <c r="C308" s="20"/>
    </row>
    <row r="309" spans="3:3" x14ac:dyDescent="0.2">
      <c r="C309" s="20"/>
    </row>
    <row r="310" spans="3:3" x14ac:dyDescent="0.2">
      <c r="C310" s="20"/>
    </row>
    <row r="311" spans="3:3" x14ac:dyDescent="0.2">
      <c r="C311" s="20"/>
    </row>
    <row r="312" spans="3:3" x14ac:dyDescent="0.2">
      <c r="C312" s="20"/>
    </row>
    <row r="313" spans="3:3" x14ac:dyDescent="0.2">
      <c r="C313" s="20"/>
    </row>
    <row r="314" spans="3:3" x14ac:dyDescent="0.2">
      <c r="C314" s="20"/>
    </row>
    <row r="315" spans="3:3" x14ac:dyDescent="0.2">
      <c r="C315" s="20"/>
    </row>
    <row r="316" spans="3:3" x14ac:dyDescent="0.2">
      <c r="C316" s="20"/>
    </row>
    <row r="317" spans="3:3" x14ac:dyDescent="0.2">
      <c r="C317" s="20"/>
    </row>
    <row r="318" spans="3:3" x14ac:dyDescent="0.2">
      <c r="C318" s="20"/>
    </row>
    <row r="319" spans="3:3" x14ac:dyDescent="0.2">
      <c r="C319" s="20"/>
    </row>
    <row r="320" spans="3:3" x14ac:dyDescent="0.2">
      <c r="C320" s="20"/>
    </row>
    <row r="321" spans="3:3" x14ac:dyDescent="0.2">
      <c r="C321" s="20"/>
    </row>
    <row r="322" spans="3:3" x14ac:dyDescent="0.2">
      <c r="C322" s="20"/>
    </row>
    <row r="323" spans="3:3" x14ac:dyDescent="0.2">
      <c r="C323" s="20"/>
    </row>
    <row r="324" spans="3:3" x14ac:dyDescent="0.2">
      <c r="C324" s="20"/>
    </row>
    <row r="325" spans="3:3" x14ac:dyDescent="0.2">
      <c r="C325" s="20"/>
    </row>
    <row r="326" spans="3:3" x14ac:dyDescent="0.2">
      <c r="C326" s="20"/>
    </row>
    <row r="327" spans="3:3" x14ac:dyDescent="0.2">
      <c r="C327" s="20"/>
    </row>
    <row r="328" spans="3:3" x14ac:dyDescent="0.2">
      <c r="C328" s="20"/>
    </row>
    <row r="329" spans="3:3" x14ac:dyDescent="0.2">
      <c r="C329" s="20"/>
    </row>
    <row r="330" spans="3:3" x14ac:dyDescent="0.2">
      <c r="C330" s="20"/>
    </row>
    <row r="331" spans="3:3" x14ac:dyDescent="0.2">
      <c r="C331" s="20"/>
    </row>
    <row r="332" spans="3:3" x14ac:dyDescent="0.2">
      <c r="C332" s="20"/>
    </row>
    <row r="333" spans="3:3" x14ac:dyDescent="0.2">
      <c r="C333" s="20"/>
    </row>
    <row r="334" spans="3:3" x14ac:dyDescent="0.2">
      <c r="C334" s="20"/>
    </row>
    <row r="335" spans="3:3" x14ac:dyDescent="0.2">
      <c r="C335" s="20"/>
    </row>
    <row r="336" spans="3:3" x14ac:dyDescent="0.2">
      <c r="C336" s="20"/>
    </row>
    <row r="337" spans="3:3" x14ac:dyDescent="0.2">
      <c r="C337" s="20"/>
    </row>
    <row r="338" spans="3:3" x14ac:dyDescent="0.2">
      <c r="C338" s="20"/>
    </row>
    <row r="339" spans="3:3" x14ac:dyDescent="0.2">
      <c r="C339" s="20"/>
    </row>
    <row r="340" spans="3:3" x14ac:dyDescent="0.2">
      <c r="C340" s="20"/>
    </row>
    <row r="341" spans="3:3" x14ac:dyDescent="0.2">
      <c r="C341" s="20"/>
    </row>
    <row r="342" spans="3:3" x14ac:dyDescent="0.2">
      <c r="C342" s="20"/>
    </row>
    <row r="343" spans="3:3" x14ac:dyDescent="0.2">
      <c r="C343" s="20"/>
    </row>
    <row r="344" spans="3:3" x14ac:dyDescent="0.2">
      <c r="C344" s="20"/>
    </row>
    <row r="345" spans="3:3" x14ac:dyDescent="0.2">
      <c r="C345" s="20"/>
    </row>
    <row r="346" spans="3:3" x14ac:dyDescent="0.2">
      <c r="C346" s="20"/>
    </row>
    <row r="347" spans="3:3" x14ac:dyDescent="0.2">
      <c r="C347" s="20"/>
    </row>
    <row r="348" spans="3:3" x14ac:dyDescent="0.2">
      <c r="C348" s="20"/>
    </row>
    <row r="349" spans="3:3" x14ac:dyDescent="0.2">
      <c r="C349" s="20"/>
    </row>
    <row r="350" spans="3:3" x14ac:dyDescent="0.2">
      <c r="C350" s="20"/>
    </row>
    <row r="351" spans="3:3" x14ac:dyDescent="0.2">
      <c r="C351" s="20"/>
    </row>
    <row r="352" spans="3:3" x14ac:dyDescent="0.2">
      <c r="C352" s="20"/>
    </row>
    <row r="353" spans="3:3" x14ac:dyDescent="0.2">
      <c r="C353" s="20"/>
    </row>
    <row r="354" spans="3:3" x14ac:dyDescent="0.2">
      <c r="C354" s="20"/>
    </row>
    <row r="355" spans="3:3" x14ac:dyDescent="0.2">
      <c r="C355" s="20"/>
    </row>
    <row r="356" spans="3:3" x14ac:dyDescent="0.2">
      <c r="C356" s="20"/>
    </row>
    <row r="357" spans="3:3" x14ac:dyDescent="0.2">
      <c r="C357" s="20"/>
    </row>
    <row r="358" spans="3:3" x14ac:dyDescent="0.2">
      <c r="C358" s="20"/>
    </row>
    <row r="359" spans="3:3" x14ac:dyDescent="0.2">
      <c r="C359" s="20"/>
    </row>
    <row r="360" spans="3:3" x14ac:dyDescent="0.2">
      <c r="C360" s="20"/>
    </row>
    <row r="361" spans="3:3" x14ac:dyDescent="0.2">
      <c r="C361" s="20"/>
    </row>
    <row r="362" spans="3:3" x14ac:dyDescent="0.2">
      <c r="C362" s="20"/>
    </row>
    <row r="363" spans="3:3" x14ac:dyDescent="0.2">
      <c r="C363" s="20"/>
    </row>
    <row r="364" spans="3:3" x14ac:dyDescent="0.2">
      <c r="C364" s="20"/>
    </row>
    <row r="365" spans="3:3" x14ac:dyDescent="0.2">
      <c r="C365" s="20"/>
    </row>
    <row r="366" spans="3:3" x14ac:dyDescent="0.2">
      <c r="C366" s="20"/>
    </row>
    <row r="367" spans="3:3" x14ac:dyDescent="0.2">
      <c r="C367" s="20"/>
    </row>
    <row r="368" spans="3:3" x14ac:dyDescent="0.2">
      <c r="C368" s="20"/>
    </row>
    <row r="369" spans="3:3" x14ac:dyDescent="0.2">
      <c r="C369" s="20"/>
    </row>
    <row r="370" spans="3:3" x14ac:dyDescent="0.2">
      <c r="C370" s="20"/>
    </row>
    <row r="371" spans="3:3" x14ac:dyDescent="0.2">
      <c r="C371" s="20"/>
    </row>
    <row r="372" spans="3:3" x14ac:dyDescent="0.2">
      <c r="C372" s="20"/>
    </row>
    <row r="373" spans="3:3" x14ac:dyDescent="0.2">
      <c r="C373" s="20"/>
    </row>
    <row r="374" spans="3:3" x14ac:dyDescent="0.2">
      <c r="C374" s="20"/>
    </row>
    <row r="375" spans="3:3" x14ac:dyDescent="0.2">
      <c r="C375" s="20"/>
    </row>
    <row r="376" spans="3:3" x14ac:dyDescent="0.2">
      <c r="C376" s="20"/>
    </row>
    <row r="377" spans="3:3" x14ac:dyDescent="0.2">
      <c r="C377" s="20"/>
    </row>
    <row r="378" spans="3:3" x14ac:dyDescent="0.2">
      <c r="C378" s="20"/>
    </row>
    <row r="379" spans="3:3" x14ac:dyDescent="0.2">
      <c r="C379" s="20"/>
    </row>
    <row r="380" spans="3:3" x14ac:dyDescent="0.2">
      <c r="C380" s="20"/>
    </row>
    <row r="381" spans="3:3" x14ac:dyDescent="0.2">
      <c r="C381" s="20"/>
    </row>
    <row r="382" spans="3:3" x14ac:dyDescent="0.2">
      <c r="C382" s="20"/>
    </row>
    <row r="383" spans="3:3" x14ac:dyDescent="0.2">
      <c r="C383" s="20"/>
    </row>
    <row r="384" spans="3:3" x14ac:dyDescent="0.2">
      <c r="C384" s="20"/>
    </row>
    <row r="385" spans="3:3" x14ac:dyDescent="0.2">
      <c r="C385" s="20"/>
    </row>
    <row r="386" spans="3:3" x14ac:dyDescent="0.2">
      <c r="C386" s="20"/>
    </row>
    <row r="387" spans="3:3" x14ac:dyDescent="0.2">
      <c r="C387" s="20"/>
    </row>
    <row r="388" spans="3:3" x14ac:dyDescent="0.2">
      <c r="C388" s="20"/>
    </row>
    <row r="389" spans="3:3" x14ac:dyDescent="0.2">
      <c r="C389" s="20"/>
    </row>
    <row r="390" spans="3:3" x14ac:dyDescent="0.2">
      <c r="C390" s="20"/>
    </row>
    <row r="391" spans="3:3" x14ac:dyDescent="0.2">
      <c r="C391" s="20"/>
    </row>
    <row r="392" spans="3:3" x14ac:dyDescent="0.2">
      <c r="C392" s="20"/>
    </row>
    <row r="393" spans="3:3" x14ac:dyDescent="0.2">
      <c r="C393" s="20"/>
    </row>
    <row r="394" spans="3:3" x14ac:dyDescent="0.2">
      <c r="C394" s="20"/>
    </row>
    <row r="395" spans="3:3" x14ac:dyDescent="0.2">
      <c r="C395" s="20"/>
    </row>
    <row r="396" spans="3:3" x14ac:dyDescent="0.2">
      <c r="C396" s="20"/>
    </row>
    <row r="397" spans="3:3" x14ac:dyDescent="0.2">
      <c r="C397" s="20"/>
    </row>
    <row r="398" spans="3:3" x14ac:dyDescent="0.2">
      <c r="C398" s="20"/>
    </row>
    <row r="399" spans="3:3" x14ac:dyDescent="0.2">
      <c r="C399" s="20"/>
    </row>
    <row r="400" spans="3:3" x14ac:dyDescent="0.2">
      <c r="C400" s="20"/>
    </row>
    <row r="401" spans="3:3" x14ac:dyDescent="0.2">
      <c r="C401" s="20"/>
    </row>
    <row r="402" spans="3:3" x14ac:dyDescent="0.2">
      <c r="C402" s="20"/>
    </row>
    <row r="403" spans="3:3" x14ac:dyDescent="0.2">
      <c r="C403" s="20"/>
    </row>
    <row r="404" spans="3:3" x14ac:dyDescent="0.2">
      <c r="C404" s="20"/>
    </row>
    <row r="405" spans="3:3" x14ac:dyDescent="0.2">
      <c r="C405" s="20"/>
    </row>
    <row r="406" spans="3:3" x14ac:dyDescent="0.2">
      <c r="C406" s="20"/>
    </row>
    <row r="407" spans="3:3" x14ac:dyDescent="0.2">
      <c r="C407" s="20"/>
    </row>
    <row r="408" spans="3:3" x14ac:dyDescent="0.2">
      <c r="C408" s="20"/>
    </row>
    <row r="409" spans="3:3" x14ac:dyDescent="0.2">
      <c r="C409" s="20"/>
    </row>
    <row r="410" spans="3:3" x14ac:dyDescent="0.2">
      <c r="C410" s="20"/>
    </row>
    <row r="411" spans="3:3" x14ac:dyDescent="0.2">
      <c r="C411" s="20"/>
    </row>
    <row r="412" spans="3:3" x14ac:dyDescent="0.2">
      <c r="C412" s="20"/>
    </row>
    <row r="413" spans="3:3" x14ac:dyDescent="0.2">
      <c r="C413" s="20"/>
    </row>
    <row r="414" spans="3:3" x14ac:dyDescent="0.2">
      <c r="C414" s="20"/>
    </row>
    <row r="415" spans="3:3" x14ac:dyDescent="0.2">
      <c r="C415" s="20"/>
    </row>
    <row r="416" spans="3:3" x14ac:dyDescent="0.2">
      <c r="C416" s="20"/>
    </row>
    <row r="417" spans="3:3" x14ac:dyDescent="0.2">
      <c r="C417" s="20"/>
    </row>
    <row r="418" spans="3:3" x14ac:dyDescent="0.2">
      <c r="C418" s="20"/>
    </row>
    <row r="419" spans="3:3" x14ac:dyDescent="0.2">
      <c r="C419" s="20"/>
    </row>
    <row r="420" spans="3:3" x14ac:dyDescent="0.2">
      <c r="C420" s="20"/>
    </row>
    <row r="421" spans="3:3" x14ac:dyDescent="0.2">
      <c r="C421" s="20"/>
    </row>
    <row r="422" spans="3:3" x14ac:dyDescent="0.2">
      <c r="C422" s="20"/>
    </row>
    <row r="423" spans="3:3" x14ac:dyDescent="0.2">
      <c r="C423" s="20"/>
    </row>
    <row r="424" spans="3:3" x14ac:dyDescent="0.2">
      <c r="C424" s="20"/>
    </row>
    <row r="425" spans="3:3" x14ac:dyDescent="0.2">
      <c r="C425" s="20"/>
    </row>
    <row r="426" spans="3:3" x14ac:dyDescent="0.2">
      <c r="C426" s="20"/>
    </row>
    <row r="427" spans="3:3" x14ac:dyDescent="0.2">
      <c r="C427" s="20"/>
    </row>
    <row r="428" spans="3:3" x14ac:dyDescent="0.2">
      <c r="C428" s="20"/>
    </row>
    <row r="429" spans="3:3" x14ac:dyDescent="0.2">
      <c r="C429" s="20"/>
    </row>
    <row r="430" spans="3:3" x14ac:dyDescent="0.2">
      <c r="C430" s="20"/>
    </row>
    <row r="431" spans="3:3" x14ac:dyDescent="0.2">
      <c r="C431" s="20"/>
    </row>
    <row r="432" spans="3:3" x14ac:dyDescent="0.2">
      <c r="C432" s="20"/>
    </row>
    <row r="433" spans="3:3" x14ac:dyDescent="0.2">
      <c r="C433" s="20"/>
    </row>
    <row r="434" spans="3:3" x14ac:dyDescent="0.2">
      <c r="C434" s="20"/>
    </row>
    <row r="435" spans="3:3" x14ac:dyDescent="0.2">
      <c r="C435" s="20"/>
    </row>
    <row r="436" spans="3:3" x14ac:dyDescent="0.2">
      <c r="C436" s="20"/>
    </row>
    <row r="437" spans="3:3" x14ac:dyDescent="0.2">
      <c r="C437" s="20"/>
    </row>
    <row r="438" spans="3:3" x14ac:dyDescent="0.2">
      <c r="C438" s="20"/>
    </row>
    <row r="439" spans="3:3" x14ac:dyDescent="0.2">
      <c r="C439" s="20"/>
    </row>
    <row r="440" spans="3:3" x14ac:dyDescent="0.2">
      <c r="C440" s="20"/>
    </row>
    <row r="441" spans="3:3" x14ac:dyDescent="0.2">
      <c r="C441" s="20"/>
    </row>
    <row r="442" spans="3:3" x14ac:dyDescent="0.2">
      <c r="C442" s="20"/>
    </row>
    <row r="443" spans="3:3" x14ac:dyDescent="0.2">
      <c r="C443" s="20"/>
    </row>
    <row r="444" spans="3:3" x14ac:dyDescent="0.2">
      <c r="C444" s="20"/>
    </row>
    <row r="445" spans="3:3" x14ac:dyDescent="0.2">
      <c r="C445" s="20"/>
    </row>
    <row r="446" spans="3:3" x14ac:dyDescent="0.2">
      <c r="C446" s="20"/>
    </row>
    <row r="447" spans="3:3" x14ac:dyDescent="0.2">
      <c r="C447" s="20"/>
    </row>
    <row r="448" spans="3:3" x14ac:dyDescent="0.2">
      <c r="C448" s="20"/>
    </row>
    <row r="449" spans="3:3" x14ac:dyDescent="0.2">
      <c r="C449" s="20"/>
    </row>
    <row r="450" spans="3:3" x14ac:dyDescent="0.2">
      <c r="C450" s="20"/>
    </row>
    <row r="451" spans="3:3" x14ac:dyDescent="0.2">
      <c r="C451" s="20"/>
    </row>
    <row r="452" spans="3:3" x14ac:dyDescent="0.2">
      <c r="C452" s="20"/>
    </row>
    <row r="453" spans="3:3" x14ac:dyDescent="0.2">
      <c r="C453" s="20"/>
    </row>
    <row r="454" spans="3:3" x14ac:dyDescent="0.2">
      <c r="C454" s="20"/>
    </row>
    <row r="455" spans="3:3" x14ac:dyDescent="0.2">
      <c r="C455" s="20"/>
    </row>
    <row r="456" spans="3:3" x14ac:dyDescent="0.2">
      <c r="C456" s="20"/>
    </row>
    <row r="457" spans="3:3" x14ac:dyDescent="0.2">
      <c r="C457" s="20"/>
    </row>
    <row r="458" spans="3:3" x14ac:dyDescent="0.2">
      <c r="C458" s="20"/>
    </row>
    <row r="459" spans="3:3" x14ac:dyDescent="0.2">
      <c r="C459" s="20"/>
    </row>
    <row r="460" spans="3:3" x14ac:dyDescent="0.2">
      <c r="C460" s="20"/>
    </row>
    <row r="461" spans="3:3" x14ac:dyDescent="0.2">
      <c r="C461" s="20"/>
    </row>
    <row r="462" spans="3:3" x14ac:dyDescent="0.2">
      <c r="C462" s="20"/>
    </row>
    <row r="463" spans="3:3" x14ac:dyDescent="0.2">
      <c r="C463" s="20"/>
    </row>
    <row r="464" spans="3:3" x14ac:dyDescent="0.2">
      <c r="C464" s="20"/>
    </row>
    <row r="465" spans="3:3" x14ac:dyDescent="0.2">
      <c r="C465" s="20"/>
    </row>
    <row r="466" spans="3:3" x14ac:dyDescent="0.2">
      <c r="C466" s="20"/>
    </row>
    <row r="467" spans="3:3" x14ac:dyDescent="0.2">
      <c r="C467" s="20"/>
    </row>
    <row r="468" spans="3:3" x14ac:dyDescent="0.2">
      <c r="C468" s="20"/>
    </row>
    <row r="469" spans="3:3" x14ac:dyDescent="0.2">
      <c r="C469" s="20"/>
    </row>
    <row r="470" spans="3:3" x14ac:dyDescent="0.2">
      <c r="C470" s="20"/>
    </row>
    <row r="471" spans="3:3" x14ac:dyDescent="0.2">
      <c r="C471" s="20"/>
    </row>
    <row r="472" spans="3:3" x14ac:dyDescent="0.2">
      <c r="C472" s="20"/>
    </row>
    <row r="473" spans="3:3" x14ac:dyDescent="0.2">
      <c r="C473" s="20"/>
    </row>
    <row r="474" spans="3:3" x14ac:dyDescent="0.2">
      <c r="C474" s="20"/>
    </row>
    <row r="475" spans="3:3" x14ac:dyDescent="0.2">
      <c r="C475" s="20"/>
    </row>
    <row r="476" spans="3:3" x14ac:dyDescent="0.2">
      <c r="C476" s="20"/>
    </row>
    <row r="477" spans="3:3" x14ac:dyDescent="0.2">
      <c r="C477" s="20"/>
    </row>
    <row r="478" spans="3:3" x14ac:dyDescent="0.2">
      <c r="C478" s="20"/>
    </row>
    <row r="479" spans="3:3" x14ac:dyDescent="0.2">
      <c r="C479" s="20"/>
    </row>
    <row r="480" spans="3:3" x14ac:dyDescent="0.2">
      <c r="C480" s="20"/>
    </row>
    <row r="481" spans="3:3" x14ac:dyDescent="0.2">
      <c r="C481" s="20"/>
    </row>
    <row r="482" spans="3:3" x14ac:dyDescent="0.2">
      <c r="C482" s="20"/>
    </row>
    <row r="483" spans="3:3" x14ac:dyDescent="0.2">
      <c r="C483" s="20"/>
    </row>
    <row r="484" spans="3:3" x14ac:dyDescent="0.2">
      <c r="C484" s="20"/>
    </row>
    <row r="485" spans="3:3" x14ac:dyDescent="0.2">
      <c r="C485" s="20"/>
    </row>
    <row r="486" spans="3:3" x14ac:dyDescent="0.2">
      <c r="C486" s="20"/>
    </row>
    <row r="487" spans="3:3" x14ac:dyDescent="0.2">
      <c r="C487" s="20"/>
    </row>
    <row r="488" spans="3:3" x14ac:dyDescent="0.2">
      <c r="C488" s="20"/>
    </row>
    <row r="489" spans="3:3" x14ac:dyDescent="0.2">
      <c r="C489" s="20"/>
    </row>
    <row r="490" spans="3:3" x14ac:dyDescent="0.2">
      <c r="C490" s="20"/>
    </row>
    <row r="491" spans="3:3" x14ac:dyDescent="0.2">
      <c r="C491" s="20"/>
    </row>
    <row r="492" spans="3:3" x14ac:dyDescent="0.2">
      <c r="C492" s="20"/>
    </row>
    <row r="493" spans="3:3" x14ac:dyDescent="0.2">
      <c r="C493" s="20"/>
    </row>
    <row r="494" spans="3:3" x14ac:dyDescent="0.2">
      <c r="C494" s="20"/>
    </row>
    <row r="495" spans="3:3" x14ac:dyDescent="0.2">
      <c r="C495" s="20"/>
    </row>
    <row r="496" spans="3:3" x14ac:dyDescent="0.2">
      <c r="C496" s="20"/>
    </row>
    <row r="497" spans="3:3" x14ac:dyDescent="0.2">
      <c r="C497" s="20"/>
    </row>
    <row r="498" spans="3:3" x14ac:dyDescent="0.2">
      <c r="C498" s="20"/>
    </row>
    <row r="499" spans="3:3" x14ac:dyDescent="0.2">
      <c r="C499" s="20"/>
    </row>
    <row r="500" spans="3:3" x14ac:dyDescent="0.2">
      <c r="C500" s="20"/>
    </row>
    <row r="501" spans="3:3" x14ac:dyDescent="0.2">
      <c r="C501" s="20"/>
    </row>
    <row r="502" spans="3:3" x14ac:dyDescent="0.2">
      <c r="C502" s="20"/>
    </row>
    <row r="503" spans="3:3" x14ac:dyDescent="0.2">
      <c r="C503" s="20"/>
    </row>
    <row r="504" spans="3:3" x14ac:dyDescent="0.2">
      <c r="C504" s="20"/>
    </row>
    <row r="505" spans="3:3" x14ac:dyDescent="0.2">
      <c r="C505" s="20"/>
    </row>
    <row r="506" spans="3:3" x14ac:dyDescent="0.2">
      <c r="C506" s="20"/>
    </row>
    <row r="507" spans="3:3" x14ac:dyDescent="0.2">
      <c r="C507" s="20"/>
    </row>
    <row r="508" spans="3:3" x14ac:dyDescent="0.2">
      <c r="C508" s="20"/>
    </row>
    <row r="509" spans="3:3" x14ac:dyDescent="0.2">
      <c r="C509" s="20"/>
    </row>
    <row r="510" spans="3:3" x14ac:dyDescent="0.2">
      <c r="C510" s="20"/>
    </row>
    <row r="511" spans="3:3" x14ac:dyDescent="0.2">
      <c r="C511" s="20"/>
    </row>
    <row r="512" spans="3:3" x14ac:dyDescent="0.2">
      <c r="C512" s="20"/>
    </row>
    <row r="513" spans="3:3" x14ac:dyDescent="0.2">
      <c r="C513" s="20"/>
    </row>
    <row r="514" spans="3:3" x14ac:dyDescent="0.2">
      <c r="C514" s="20"/>
    </row>
    <row r="515" spans="3:3" x14ac:dyDescent="0.2">
      <c r="C515" s="20"/>
    </row>
    <row r="516" spans="3:3" x14ac:dyDescent="0.2">
      <c r="C516" s="20"/>
    </row>
    <row r="517" spans="3:3" x14ac:dyDescent="0.2">
      <c r="C517" s="20"/>
    </row>
    <row r="518" spans="3:3" x14ac:dyDescent="0.2">
      <c r="C518" s="20"/>
    </row>
    <row r="519" spans="3:3" x14ac:dyDescent="0.2">
      <c r="C519" s="20"/>
    </row>
    <row r="520" spans="3:3" x14ac:dyDescent="0.2">
      <c r="C520" s="20"/>
    </row>
    <row r="521" spans="3:3" x14ac:dyDescent="0.2">
      <c r="C521" s="20"/>
    </row>
    <row r="522" spans="3:3" x14ac:dyDescent="0.2">
      <c r="C522" s="20"/>
    </row>
    <row r="523" spans="3:3" x14ac:dyDescent="0.2">
      <c r="C523" s="20"/>
    </row>
    <row r="524" spans="3:3" x14ac:dyDescent="0.2">
      <c r="C524" s="20"/>
    </row>
    <row r="525" spans="3:3" x14ac:dyDescent="0.2">
      <c r="C525" s="20"/>
    </row>
    <row r="526" spans="3:3" x14ac:dyDescent="0.2">
      <c r="C526" s="20"/>
    </row>
    <row r="527" spans="3:3" x14ac:dyDescent="0.2">
      <c r="C527" s="20"/>
    </row>
    <row r="528" spans="3:3" x14ac:dyDescent="0.2">
      <c r="C528" s="20"/>
    </row>
    <row r="529" spans="3:3" x14ac:dyDescent="0.2">
      <c r="C529" s="20"/>
    </row>
    <row r="530" spans="3:3" x14ac:dyDescent="0.2">
      <c r="C530" s="20"/>
    </row>
    <row r="531" spans="3:3" x14ac:dyDescent="0.2">
      <c r="C531" s="20"/>
    </row>
    <row r="532" spans="3:3" x14ac:dyDescent="0.2">
      <c r="C532" s="20"/>
    </row>
    <row r="533" spans="3:3" x14ac:dyDescent="0.2">
      <c r="C533" s="20"/>
    </row>
    <row r="534" spans="3:3" x14ac:dyDescent="0.2">
      <c r="C534" s="20"/>
    </row>
    <row r="535" spans="3:3" x14ac:dyDescent="0.2">
      <c r="C535" s="20"/>
    </row>
    <row r="536" spans="3:3" x14ac:dyDescent="0.2">
      <c r="C536" s="20"/>
    </row>
    <row r="537" spans="3:3" x14ac:dyDescent="0.2">
      <c r="C537" s="20"/>
    </row>
    <row r="538" spans="3:3" x14ac:dyDescent="0.2">
      <c r="C538" s="20"/>
    </row>
    <row r="539" spans="3:3" x14ac:dyDescent="0.2">
      <c r="C539" s="20"/>
    </row>
    <row r="540" spans="3:3" x14ac:dyDescent="0.2">
      <c r="C540" s="20"/>
    </row>
    <row r="541" spans="3:3" x14ac:dyDescent="0.2">
      <c r="C541" s="20"/>
    </row>
    <row r="542" spans="3:3" x14ac:dyDescent="0.2">
      <c r="C542" s="20"/>
    </row>
    <row r="543" spans="3:3" x14ac:dyDescent="0.2">
      <c r="C543" s="20"/>
    </row>
    <row r="544" spans="3:3" x14ac:dyDescent="0.2">
      <c r="C544" s="20"/>
    </row>
    <row r="545" spans="3:3" x14ac:dyDescent="0.2">
      <c r="C545" s="20"/>
    </row>
    <row r="546" spans="3:3" x14ac:dyDescent="0.2">
      <c r="C546" s="20"/>
    </row>
    <row r="547" spans="3:3" x14ac:dyDescent="0.2">
      <c r="C547" s="20"/>
    </row>
    <row r="548" spans="3:3" x14ac:dyDescent="0.2">
      <c r="C548" s="20"/>
    </row>
    <row r="549" spans="3:3" x14ac:dyDescent="0.2">
      <c r="C549" s="20"/>
    </row>
    <row r="550" spans="3:3" x14ac:dyDescent="0.2">
      <c r="C550" s="20"/>
    </row>
    <row r="551" spans="3:3" x14ac:dyDescent="0.2">
      <c r="C551" s="20"/>
    </row>
    <row r="552" spans="3:3" x14ac:dyDescent="0.2">
      <c r="C552" s="20"/>
    </row>
    <row r="553" spans="3:3" x14ac:dyDescent="0.2">
      <c r="C553" s="20"/>
    </row>
    <row r="554" spans="3:3" x14ac:dyDescent="0.2">
      <c r="C554" s="20"/>
    </row>
    <row r="555" spans="3:3" x14ac:dyDescent="0.2">
      <c r="C555" s="20"/>
    </row>
    <row r="556" spans="3:3" x14ac:dyDescent="0.2">
      <c r="C556" s="20"/>
    </row>
    <row r="557" spans="3:3" x14ac:dyDescent="0.2">
      <c r="C557" s="20"/>
    </row>
    <row r="558" spans="3:3" x14ac:dyDescent="0.2">
      <c r="C558" s="20"/>
    </row>
    <row r="559" spans="3:3" x14ac:dyDescent="0.2">
      <c r="C559" s="20"/>
    </row>
    <row r="560" spans="3:3" x14ac:dyDescent="0.2">
      <c r="C560" s="20"/>
    </row>
    <row r="561" spans="3:3" x14ac:dyDescent="0.2">
      <c r="C561" s="20"/>
    </row>
    <row r="562" spans="3:3" x14ac:dyDescent="0.2">
      <c r="C562" s="20"/>
    </row>
    <row r="563" spans="3:3" x14ac:dyDescent="0.2">
      <c r="C563" s="20"/>
    </row>
    <row r="564" spans="3:3" x14ac:dyDescent="0.2">
      <c r="C564" s="20"/>
    </row>
    <row r="565" spans="3:3" x14ac:dyDescent="0.2">
      <c r="C565" s="20"/>
    </row>
    <row r="566" spans="3:3" x14ac:dyDescent="0.2">
      <c r="C566" s="20"/>
    </row>
    <row r="567" spans="3:3" x14ac:dyDescent="0.2">
      <c r="C567" s="20"/>
    </row>
    <row r="568" spans="3:3" x14ac:dyDescent="0.2">
      <c r="C568" s="20"/>
    </row>
    <row r="569" spans="3:3" x14ac:dyDescent="0.2">
      <c r="C569" s="20"/>
    </row>
    <row r="570" spans="3:3" x14ac:dyDescent="0.2">
      <c r="C570" s="20"/>
    </row>
    <row r="571" spans="3:3" x14ac:dyDescent="0.2">
      <c r="C571" s="20"/>
    </row>
    <row r="572" spans="3:3" x14ac:dyDescent="0.2">
      <c r="C572" s="20"/>
    </row>
    <row r="573" spans="3:3" x14ac:dyDescent="0.2">
      <c r="C573" s="20"/>
    </row>
    <row r="574" spans="3:3" x14ac:dyDescent="0.2">
      <c r="C574" s="20"/>
    </row>
    <row r="575" spans="3:3" x14ac:dyDescent="0.2">
      <c r="C575" s="20"/>
    </row>
    <row r="576" spans="3:3" x14ac:dyDescent="0.2">
      <c r="C576" s="20"/>
    </row>
    <row r="577" spans="3:3" x14ac:dyDescent="0.2">
      <c r="C577" s="20"/>
    </row>
    <row r="578" spans="3:3" x14ac:dyDescent="0.2">
      <c r="C578" s="20"/>
    </row>
    <row r="579" spans="3:3" x14ac:dyDescent="0.2">
      <c r="C579" s="20"/>
    </row>
    <row r="580" spans="3:3" x14ac:dyDescent="0.2">
      <c r="C580" s="20"/>
    </row>
    <row r="581" spans="3:3" x14ac:dyDescent="0.2">
      <c r="C581" s="20"/>
    </row>
    <row r="582" spans="3:3" x14ac:dyDescent="0.2">
      <c r="C582" s="20"/>
    </row>
    <row r="583" spans="3:3" x14ac:dyDescent="0.2">
      <c r="C583" s="20"/>
    </row>
    <row r="584" spans="3:3" x14ac:dyDescent="0.2">
      <c r="C584" s="20"/>
    </row>
    <row r="585" spans="3:3" x14ac:dyDescent="0.2">
      <c r="C585" s="20"/>
    </row>
    <row r="586" spans="3:3" x14ac:dyDescent="0.2">
      <c r="C586" s="20"/>
    </row>
    <row r="587" spans="3:3" x14ac:dyDescent="0.2">
      <c r="C587" s="20"/>
    </row>
    <row r="588" spans="3:3" x14ac:dyDescent="0.2">
      <c r="C588" s="20"/>
    </row>
    <row r="589" spans="3:3" x14ac:dyDescent="0.2">
      <c r="C589" s="20"/>
    </row>
    <row r="590" spans="3:3" x14ac:dyDescent="0.2">
      <c r="C590" s="20"/>
    </row>
    <row r="591" spans="3:3" x14ac:dyDescent="0.2">
      <c r="C591" s="20"/>
    </row>
    <row r="592" spans="3:3" x14ac:dyDescent="0.2">
      <c r="C592" s="20"/>
    </row>
    <row r="593" spans="3:3" x14ac:dyDescent="0.2">
      <c r="C593" s="20"/>
    </row>
    <row r="594" spans="3:3" x14ac:dyDescent="0.2">
      <c r="C594" s="20"/>
    </row>
    <row r="595" spans="3:3" x14ac:dyDescent="0.2">
      <c r="C595" s="20"/>
    </row>
    <row r="596" spans="3:3" x14ac:dyDescent="0.2">
      <c r="C596" s="20"/>
    </row>
    <row r="597" spans="3:3" x14ac:dyDescent="0.2">
      <c r="C597" s="20"/>
    </row>
    <row r="598" spans="3:3" x14ac:dyDescent="0.2">
      <c r="C598" s="20"/>
    </row>
    <row r="599" spans="3:3" x14ac:dyDescent="0.2">
      <c r="C599" s="20"/>
    </row>
    <row r="600" spans="3:3" x14ac:dyDescent="0.2">
      <c r="C600" s="20"/>
    </row>
    <row r="601" spans="3:3" x14ac:dyDescent="0.2">
      <c r="C601" s="20"/>
    </row>
    <row r="602" spans="3:3" x14ac:dyDescent="0.2">
      <c r="C602" s="20"/>
    </row>
    <row r="603" spans="3:3" x14ac:dyDescent="0.2">
      <c r="C603" s="20"/>
    </row>
    <row r="604" spans="3:3" x14ac:dyDescent="0.2">
      <c r="C604" s="20"/>
    </row>
    <row r="605" spans="3:3" x14ac:dyDescent="0.2">
      <c r="C605" s="20"/>
    </row>
    <row r="606" spans="3:3" x14ac:dyDescent="0.2">
      <c r="C606" s="20"/>
    </row>
    <row r="607" spans="3:3" x14ac:dyDescent="0.2">
      <c r="C607" s="20"/>
    </row>
    <row r="608" spans="3:3" x14ac:dyDescent="0.2">
      <c r="C608" s="20"/>
    </row>
    <row r="609" spans="3:3" x14ac:dyDescent="0.2">
      <c r="C609" s="20"/>
    </row>
    <row r="610" spans="3:3" x14ac:dyDescent="0.2">
      <c r="C610" s="20"/>
    </row>
    <row r="611" spans="3:3" x14ac:dyDescent="0.2">
      <c r="C611" s="20"/>
    </row>
    <row r="612" spans="3:3" x14ac:dyDescent="0.2">
      <c r="C612" s="20"/>
    </row>
    <row r="613" spans="3:3" x14ac:dyDescent="0.2">
      <c r="C613" s="20"/>
    </row>
    <row r="614" spans="3:3" x14ac:dyDescent="0.2">
      <c r="C614" s="20"/>
    </row>
    <row r="615" spans="3:3" x14ac:dyDescent="0.2">
      <c r="C615" s="20"/>
    </row>
    <row r="616" spans="3:3" x14ac:dyDescent="0.2">
      <c r="C616" s="20"/>
    </row>
    <row r="617" spans="3:3" x14ac:dyDescent="0.2">
      <c r="C617" s="20"/>
    </row>
    <row r="618" spans="3:3" x14ac:dyDescent="0.2">
      <c r="C618" s="20"/>
    </row>
    <row r="619" spans="3:3" x14ac:dyDescent="0.2">
      <c r="C619" s="20"/>
    </row>
    <row r="620" spans="3:3" x14ac:dyDescent="0.2">
      <c r="C620" s="20"/>
    </row>
    <row r="621" spans="3:3" x14ac:dyDescent="0.2">
      <c r="C621" s="20"/>
    </row>
    <row r="622" spans="3:3" x14ac:dyDescent="0.2">
      <c r="C622" s="20"/>
    </row>
    <row r="623" spans="3:3" x14ac:dyDescent="0.2">
      <c r="C623" s="20"/>
    </row>
    <row r="624" spans="3:3" x14ac:dyDescent="0.2">
      <c r="C624" s="20"/>
    </row>
    <row r="625" spans="3:3" x14ac:dyDescent="0.2">
      <c r="C625" s="20"/>
    </row>
    <row r="626" spans="3:3" x14ac:dyDescent="0.2">
      <c r="C626" s="20"/>
    </row>
    <row r="627" spans="3:3" x14ac:dyDescent="0.2">
      <c r="C627" s="20"/>
    </row>
    <row r="628" spans="3:3" x14ac:dyDescent="0.2">
      <c r="C628" s="20"/>
    </row>
    <row r="629" spans="3:3" x14ac:dyDescent="0.2">
      <c r="C629" s="20"/>
    </row>
    <row r="630" spans="3:3" x14ac:dyDescent="0.2">
      <c r="C630" s="20"/>
    </row>
    <row r="631" spans="3:3" x14ac:dyDescent="0.2">
      <c r="C631" s="20"/>
    </row>
    <row r="632" spans="3:3" x14ac:dyDescent="0.2">
      <c r="C632" s="20"/>
    </row>
    <row r="633" spans="3:3" x14ac:dyDescent="0.2">
      <c r="C633" s="20"/>
    </row>
    <row r="634" spans="3:3" x14ac:dyDescent="0.2">
      <c r="C634" s="20"/>
    </row>
    <row r="635" spans="3:3" x14ac:dyDescent="0.2">
      <c r="C635" s="20"/>
    </row>
    <row r="636" spans="3:3" x14ac:dyDescent="0.2">
      <c r="C636" s="20"/>
    </row>
    <row r="637" spans="3:3" x14ac:dyDescent="0.2">
      <c r="C637" s="20"/>
    </row>
    <row r="638" spans="3:3" x14ac:dyDescent="0.2">
      <c r="C638" s="20"/>
    </row>
    <row r="639" spans="3:3" x14ac:dyDescent="0.2">
      <c r="C639" s="20"/>
    </row>
    <row r="640" spans="3:3" x14ac:dyDescent="0.2">
      <c r="C640" s="20"/>
    </row>
    <row r="641" spans="3:3" x14ac:dyDescent="0.2">
      <c r="C641" s="20"/>
    </row>
    <row r="642" spans="3:3" x14ac:dyDescent="0.2">
      <c r="C642" s="20"/>
    </row>
    <row r="643" spans="3:3" x14ac:dyDescent="0.2">
      <c r="C643" s="20"/>
    </row>
    <row r="644" spans="3:3" x14ac:dyDescent="0.2">
      <c r="C644" s="20"/>
    </row>
    <row r="645" spans="3:3" x14ac:dyDescent="0.2">
      <c r="C645" s="20"/>
    </row>
    <row r="646" spans="3:3" x14ac:dyDescent="0.2">
      <c r="C646" s="20"/>
    </row>
    <row r="647" spans="3:3" x14ac:dyDescent="0.2">
      <c r="C647" s="20"/>
    </row>
    <row r="648" spans="3:3" x14ac:dyDescent="0.2">
      <c r="C648" s="20"/>
    </row>
    <row r="649" spans="3:3" x14ac:dyDescent="0.2">
      <c r="C649" s="20"/>
    </row>
    <row r="650" spans="3:3" x14ac:dyDescent="0.2">
      <c r="C650" s="20"/>
    </row>
    <row r="651" spans="3:3" x14ac:dyDescent="0.2">
      <c r="C651" s="20"/>
    </row>
    <row r="652" spans="3:3" x14ac:dyDescent="0.2">
      <c r="C652" s="20"/>
    </row>
    <row r="653" spans="3:3" x14ac:dyDescent="0.2">
      <c r="C653" s="20"/>
    </row>
    <row r="654" spans="3:3" x14ac:dyDescent="0.2">
      <c r="C654" s="20"/>
    </row>
    <row r="655" spans="3:3" x14ac:dyDescent="0.2">
      <c r="C655" s="20"/>
    </row>
    <row r="656" spans="3:3" x14ac:dyDescent="0.2">
      <c r="C656" s="20"/>
    </row>
    <row r="657" spans="3:3" x14ac:dyDescent="0.2">
      <c r="C657" s="20"/>
    </row>
    <row r="658" spans="3:3" x14ac:dyDescent="0.2">
      <c r="C658" s="20"/>
    </row>
    <row r="659" spans="3:3" x14ac:dyDescent="0.2">
      <c r="C659" s="20"/>
    </row>
    <row r="660" spans="3:3" x14ac:dyDescent="0.2">
      <c r="C660" s="20"/>
    </row>
    <row r="661" spans="3:3" x14ac:dyDescent="0.2">
      <c r="C661" s="20"/>
    </row>
    <row r="662" spans="3:3" x14ac:dyDescent="0.2">
      <c r="C662" s="20"/>
    </row>
    <row r="663" spans="3:3" x14ac:dyDescent="0.2">
      <c r="C663" s="20"/>
    </row>
    <row r="664" spans="3:3" x14ac:dyDescent="0.2">
      <c r="C664" s="20"/>
    </row>
    <row r="665" spans="3:3" x14ac:dyDescent="0.2">
      <c r="C665" s="20"/>
    </row>
    <row r="666" spans="3:3" x14ac:dyDescent="0.2">
      <c r="C666" s="20"/>
    </row>
    <row r="667" spans="3:3" x14ac:dyDescent="0.2">
      <c r="C667" s="20"/>
    </row>
    <row r="668" spans="3:3" x14ac:dyDescent="0.2">
      <c r="C668" s="20"/>
    </row>
    <row r="669" spans="3:3" x14ac:dyDescent="0.2">
      <c r="C669" s="20"/>
    </row>
    <row r="670" spans="3:3" x14ac:dyDescent="0.2">
      <c r="C670" s="20"/>
    </row>
    <row r="671" spans="3:3" x14ac:dyDescent="0.2">
      <c r="C671" s="20"/>
    </row>
    <row r="672" spans="3:3" x14ac:dyDescent="0.2">
      <c r="C672" s="20"/>
    </row>
    <row r="673" spans="3:3" x14ac:dyDescent="0.2">
      <c r="C673" s="20"/>
    </row>
    <row r="674" spans="3:3" x14ac:dyDescent="0.2">
      <c r="C674" s="20"/>
    </row>
    <row r="675" spans="3:3" x14ac:dyDescent="0.2">
      <c r="C675" s="20"/>
    </row>
    <row r="676" spans="3:3" x14ac:dyDescent="0.2">
      <c r="C676" s="20"/>
    </row>
    <row r="677" spans="3:3" x14ac:dyDescent="0.2">
      <c r="C677" s="20"/>
    </row>
    <row r="678" spans="3:3" x14ac:dyDescent="0.2">
      <c r="C678" s="20"/>
    </row>
    <row r="679" spans="3:3" x14ac:dyDescent="0.2">
      <c r="C679" s="20"/>
    </row>
    <row r="680" spans="3:3" x14ac:dyDescent="0.2">
      <c r="C680" s="20"/>
    </row>
    <row r="681" spans="3:3" x14ac:dyDescent="0.2">
      <c r="C681" s="20"/>
    </row>
    <row r="682" spans="3:3" x14ac:dyDescent="0.2">
      <c r="C682" s="2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200-000000000000}">
          <x14:formula1>
            <xm:f>_Flags_!$G$2:$G$6</xm:f>
          </x14:formula1>
          <xm:sqref>M2:M5 R2:S5 P2:P5 J2:J3 V2:V3 J197 V158:V189 J153 J156 J158 J161 J164:J165 J167 J169 J172:J173 J175 J178 J181 J184 J186 J189 J194 V153 V156 AB2:AB197 V5:V150 J5:J150 Y2:Y197 G2:G150 R7:S150 P7:P150 M7:M150</xm:sqref>
        </x14:dataValidation>
        <x14:dataValidation type="list" allowBlank="1" showInputMessage="1" showErrorMessage="1" xr:uid="{00000000-0002-0000-0200-000001000000}">
          <x14:formula1>
            <xm:f>_Flags_!$F$2:$F$9</xm:f>
          </x14:formula1>
          <xm:sqref>O2:O5 F2:F5 U2:U5 I2:I5 X2:X5 L2:L5 I7:I150 AA2:AA197 X7:X150 U7:U150 L7:L150 O7:O150 F7:F197</xm:sqref>
        </x14:dataValidation>
        <x14:dataValidation type="list" allowBlank="1" showInputMessage="1" showErrorMessage="1" xr:uid="{B7B6A2C2-660B-6B46-9CA3-8300491A469C}">
          <x14:formula1>
            <xm:f>_Flags_!$E$2:$E$17</xm:f>
          </x14:formula1>
          <xm:sqref>C2:C682</xm:sqref>
        </x14:dataValidation>
        <x14:dataValidation type="list" allowBlank="1" showInputMessage="1" showErrorMessage="1" xr:uid="{8FB7BF02-FC8C-D446-A32E-BA82D720BAF0}">
          <x14:formula1>
            <xm:f>_NiskinBottles_!$A:$A</xm:f>
          </x14:formula1>
          <xm:sqref>B2:B682</xm:sqref>
        </x14:dataValidation>
        <x14:dataValidation type="list" allowBlank="1" showInputMessage="1" showErrorMessage="1" xr:uid="{55F9DC1D-496A-7945-ABD7-2439C38FBD6E}">
          <x14:formula1>
            <xm:f>CastList!$D:$D</xm:f>
          </x14:formula1>
          <xm:sqref>A2:A682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tabColor rgb="FF00B050"/>
  </sheetPr>
  <dimension ref="A1:W136"/>
  <sheetViews>
    <sheetView topLeftCell="A52" zoomScale="125" workbookViewId="0">
      <selection activeCell="G78" sqref="G78"/>
    </sheetView>
  </sheetViews>
  <sheetFormatPr baseColWidth="10" defaultRowHeight="16" x14ac:dyDescent="0.2"/>
  <cols>
    <col min="1" max="1" width="9.83203125" customWidth="1"/>
    <col min="2" max="2" width="16.6640625" bestFit="1" customWidth="1"/>
    <col min="3" max="3" width="16.6640625" customWidth="1"/>
    <col min="4" max="4" width="9.83203125" customWidth="1"/>
    <col min="5" max="5" width="9.83203125" style="36" customWidth="1"/>
    <col min="6" max="6" width="9.83203125" customWidth="1"/>
    <col min="7" max="7" width="9.83203125" style="40" customWidth="1"/>
    <col min="8" max="10" width="11.33203125" customWidth="1"/>
    <col min="11" max="11" width="21" customWidth="1"/>
    <col min="12" max="12" width="81.1640625" bestFit="1" customWidth="1"/>
    <col min="13" max="13" width="23" customWidth="1"/>
    <col min="22" max="22" width="12" bestFit="1" customWidth="1"/>
    <col min="23" max="23" width="10.5" customWidth="1"/>
  </cols>
  <sheetData>
    <row r="1" spans="1:23" ht="17" customHeight="1" x14ac:dyDescent="0.2">
      <c r="A1" s="73" t="s">
        <v>8</v>
      </c>
      <c r="B1" s="73"/>
      <c r="C1" s="73"/>
      <c r="D1" s="73"/>
      <c r="E1" s="73"/>
      <c r="F1" s="73"/>
      <c r="G1" s="73"/>
      <c r="H1" s="73"/>
      <c r="I1" s="7"/>
      <c r="J1" s="7"/>
      <c r="N1" s="75" t="s">
        <v>123</v>
      </c>
      <c r="O1" s="75" t="s">
        <v>124</v>
      </c>
      <c r="P1" s="75" t="s">
        <v>125</v>
      </c>
      <c r="Q1" s="75" t="s">
        <v>126</v>
      </c>
      <c r="R1" s="75" t="s">
        <v>127</v>
      </c>
      <c r="S1" s="75" t="s">
        <v>128</v>
      </c>
      <c r="T1" s="75" t="s">
        <v>129</v>
      </c>
      <c r="U1" s="75" t="s">
        <v>130</v>
      </c>
      <c r="V1" s="74" t="s">
        <v>133</v>
      </c>
      <c r="W1" s="74" t="s">
        <v>132</v>
      </c>
    </row>
    <row r="2" spans="1:23" x14ac:dyDescent="0.2">
      <c r="A2" s="71" t="s">
        <v>1</v>
      </c>
      <c r="B2" s="71"/>
      <c r="C2" s="15"/>
      <c r="D2" s="67" t="s">
        <v>247</v>
      </c>
      <c r="E2" s="67"/>
      <c r="F2" s="67"/>
      <c r="G2" s="67"/>
      <c r="H2" s="67"/>
      <c r="M2" t="s">
        <v>122</v>
      </c>
      <c r="N2" s="75"/>
      <c r="O2" s="75"/>
      <c r="P2" s="75"/>
      <c r="Q2" s="75"/>
      <c r="R2" s="75"/>
      <c r="S2" s="75"/>
      <c r="T2" s="75"/>
      <c r="U2" s="75"/>
      <c r="V2" s="74"/>
      <c r="W2" s="74"/>
    </row>
    <row r="3" spans="1:23" x14ac:dyDescent="0.2">
      <c r="A3" s="77" t="s">
        <v>3</v>
      </c>
      <c r="B3" s="72"/>
      <c r="D3" s="6">
        <v>2.4879999999999999E-2</v>
      </c>
      <c r="E3" s="35"/>
      <c r="F3" s="5"/>
      <c r="G3" s="39"/>
      <c r="H3" s="5"/>
    </row>
    <row r="4" spans="1:23" x14ac:dyDescent="0.2">
      <c r="A4" s="77" t="s">
        <v>2</v>
      </c>
      <c r="B4" s="72"/>
      <c r="D4" s="6">
        <v>4.9850000000000003</v>
      </c>
      <c r="E4" s="35"/>
      <c r="F4" s="5"/>
      <c r="G4" s="39"/>
      <c r="H4" s="5"/>
      <c r="M4">
        <v>1</v>
      </c>
      <c r="N4" s="28">
        <v>1.276</v>
      </c>
      <c r="O4" s="28">
        <v>1.272</v>
      </c>
      <c r="P4" s="28">
        <v>1.272</v>
      </c>
      <c r="Q4" s="28"/>
      <c r="R4" s="28">
        <v>2E-3</v>
      </c>
      <c r="S4" s="28">
        <v>2E-3</v>
      </c>
      <c r="T4" s="28">
        <v>2E-3</v>
      </c>
      <c r="U4" s="28"/>
      <c r="V4" s="16">
        <f t="shared" ref="V4:V9" si="0">AVERAGE(N4:Q4)</f>
        <v>1.2733333333333334</v>
      </c>
      <c r="W4" s="16">
        <f t="shared" ref="W4:W9" si="1">AVERAGE((R4:U4))</f>
        <v>2E-3</v>
      </c>
    </row>
    <row r="5" spans="1:23" ht="13" customHeight="1" x14ac:dyDescent="0.2">
      <c r="A5" s="1"/>
      <c r="B5" s="1"/>
      <c r="C5" s="1"/>
      <c r="M5">
        <v>2</v>
      </c>
      <c r="N5" s="28">
        <v>1.252</v>
      </c>
      <c r="O5" s="28">
        <v>1.252</v>
      </c>
      <c r="P5" s="28">
        <v>1.252</v>
      </c>
      <c r="Q5" s="28">
        <v>1.252</v>
      </c>
      <c r="R5" s="28">
        <v>2E-3</v>
      </c>
      <c r="S5" s="28">
        <v>4.0000000000000001E-3</v>
      </c>
      <c r="T5" s="28">
        <v>2E-3</v>
      </c>
      <c r="U5" s="28">
        <v>2E-3</v>
      </c>
      <c r="V5" s="16">
        <f t="shared" si="0"/>
        <v>1.252</v>
      </c>
      <c r="W5" s="16">
        <f t="shared" si="1"/>
        <v>2.5000000000000001E-3</v>
      </c>
    </row>
    <row r="6" spans="1:23" x14ac:dyDescent="0.2">
      <c r="A6" s="66" t="s">
        <v>4</v>
      </c>
      <c r="B6" s="66"/>
      <c r="C6" s="1"/>
      <c r="D6" s="67"/>
      <c r="E6" s="67"/>
      <c r="F6" s="67"/>
      <c r="G6" s="67"/>
      <c r="H6" s="67"/>
      <c r="M6">
        <v>3</v>
      </c>
      <c r="N6" s="28">
        <v>1.25</v>
      </c>
      <c r="O6" s="28">
        <v>1.25</v>
      </c>
      <c r="P6" s="28">
        <v>1.25</v>
      </c>
      <c r="Q6" s="28"/>
      <c r="R6" s="28">
        <v>2E-3</v>
      </c>
      <c r="S6" s="28">
        <v>0</v>
      </c>
      <c r="T6" s="28">
        <v>2E-3</v>
      </c>
      <c r="U6" s="28"/>
      <c r="V6" s="16">
        <f t="shared" si="0"/>
        <v>1.25</v>
      </c>
      <c r="W6" s="16">
        <f t="shared" si="1"/>
        <v>1.3333333333333333E-3</v>
      </c>
    </row>
    <row r="7" spans="1:23" ht="13" customHeight="1" x14ac:dyDescent="0.2">
      <c r="A7" s="1"/>
      <c r="B7" s="1"/>
      <c r="C7" s="1"/>
      <c r="M7">
        <v>4</v>
      </c>
      <c r="N7" s="28">
        <v>1.246</v>
      </c>
      <c r="O7" s="28">
        <v>1.252</v>
      </c>
      <c r="P7" s="28">
        <v>1.248</v>
      </c>
      <c r="Q7" s="28">
        <v>1.25</v>
      </c>
      <c r="R7" s="28">
        <v>4.0000000000000001E-3</v>
      </c>
      <c r="S7" s="28">
        <v>4.0000000000000001E-3</v>
      </c>
      <c r="T7" s="28">
        <v>0</v>
      </c>
      <c r="U7" s="28">
        <v>0</v>
      </c>
      <c r="V7" s="16">
        <f t="shared" si="0"/>
        <v>1.2490000000000001</v>
      </c>
      <c r="W7" s="16">
        <f t="shared" si="1"/>
        <v>2E-3</v>
      </c>
    </row>
    <row r="8" spans="1:23" ht="13" customHeight="1" x14ac:dyDescent="0.2">
      <c r="A8" s="1"/>
      <c r="B8" s="1"/>
      <c r="C8" s="1"/>
      <c r="M8">
        <v>5</v>
      </c>
      <c r="N8" s="28">
        <v>1.262</v>
      </c>
      <c r="O8" s="28">
        <v>1.26</v>
      </c>
      <c r="P8" s="28">
        <v>1.262</v>
      </c>
      <c r="Q8" s="28">
        <v>1.26</v>
      </c>
      <c r="R8" s="28">
        <v>2E-3</v>
      </c>
      <c r="S8" s="28">
        <v>0</v>
      </c>
      <c r="T8" s="28">
        <v>2E-3</v>
      </c>
      <c r="U8" s="28">
        <v>0</v>
      </c>
      <c r="V8" s="16">
        <f t="shared" si="0"/>
        <v>1.2610000000000001</v>
      </c>
      <c r="W8" s="16">
        <f t="shared" si="1"/>
        <v>1E-3</v>
      </c>
    </row>
    <row r="9" spans="1:23" ht="15" customHeight="1" x14ac:dyDescent="0.2">
      <c r="A9" s="1"/>
      <c r="B9" s="1"/>
      <c r="C9" s="1"/>
      <c r="M9">
        <v>6</v>
      </c>
      <c r="N9" s="28">
        <v>1.26</v>
      </c>
      <c r="O9" s="28">
        <v>1.254</v>
      </c>
      <c r="P9" s="28">
        <v>1.26</v>
      </c>
      <c r="Q9" s="28">
        <v>1.254</v>
      </c>
      <c r="R9" s="28">
        <v>2E-3</v>
      </c>
      <c r="S9" s="28">
        <v>0</v>
      </c>
      <c r="T9" s="28">
        <v>2E-3</v>
      </c>
      <c r="U9" s="28"/>
      <c r="V9" s="16">
        <f t="shared" si="0"/>
        <v>1.2570000000000001</v>
      </c>
      <c r="W9" s="16">
        <f t="shared" si="1"/>
        <v>1.3333333333333333E-3</v>
      </c>
    </row>
    <row r="10" spans="1:23" x14ac:dyDescent="0.2">
      <c r="A10" s="1"/>
      <c r="B10" s="1"/>
      <c r="C10" s="1"/>
      <c r="M10">
        <v>7</v>
      </c>
      <c r="N10" s="28"/>
      <c r="O10" s="28"/>
      <c r="P10" s="28"/>
      <c r="Q10" s="28"/>
      <c r="R10" s="28"/>
      <c r="S10" s="28"/>
      <c r="T10" s="28"/>
      <c r="U10" s="28"/>
      <c r="V10" s="16"/>
      <c r="W10" s="16"/>
    </row>
    <row r="11" spans="1:23" x14ac:dyDescent="0.2">
      <c r="A11" s="1"/>
      <c r="B11" s="1"/>
      <c r="C11" s="1"/>
    </row>
    <row r="12" spans="1:23" x14ac:dyDescent="0.2">
      <c r="A12" s="1"/>
      <c r="B12" s="1"/>
      <c r="C12" s="1"/>
    </row>
    <row r="13" spans="1:23" x14ac:dyDescent="0.2">
      <c r="A13" s="1"/>
      <c r="B13" s="1"/>
      <c r="C13" s="1"/>
    </row>
    <row r="15" spans="1:23" x14ac:dyDescent="0.2">
      <c r="A15" s="68" t="s">
        <v>5</v>
      </c>
      <c r="B15" s="68" t="s">
        <v>7</v>
      </c>
      <c r="C15" s="68" t="s">
        <v>19</v>
      </c>
      <c r="D15" s="68" t="s">
        <v>6</v>
      </c>
      <c r="E15" s="69" t="s">
        <v>11</v>
      </c>
      <c r="F15" s="69" t="s">
        <v>119</v>
      </c>
      <c r="G15" s="79" t="s">
        <v>120</v>
      </c>
      <c r="H15" s="64" t="s">
        <v>121</v>
      </c>
      <c r="I15" s="68" t="s">
        <v>131</v>
      </c>
      <c r="J15" s="68" t="s">
        <v>132</v>
      </c>
      <c r="K15" s="68" t="s">
        <v>152</v>
      </c>
      <c r="L15" s="63" t="s">
        <v>0</v>
      </c>
    </row>
    <row r="16" spans="1:23" x14ac:dyDescent="0.2">
      <c r="A16" s="68"/>
      <c r="B16" s="68"/>
      <c r="C16" s="68"/>
      <c r="D16" s="68"/>
      <c r="E16" s="69"/>
      <c r="F16" s="69"/>
      <c r="G16" s="80"/>
      <c r="H16" s="70"/>
      <c r="I16" s="78"/>
      <c r="J16" s="78"/>
      <c r="K16" s="76"/>
      <c r="L16" s="63"/>
    </row>
    <row r="17" spans="1:12" x14ac:dyDescent="0.2">
      <c r="A17" s="19" t="str" cm="1">
        <f t="array" ref="A17:E136">(_xlfn._xlws.FILTER((SampleList!A2:INDEX(SampleList!E:E, ROWS(SampleList!E:E))),(SampleList!E2:INDEX(SampleList!E:E, ROWS(SampleList!E:E)))&lt;&gt;""))</f>
        <v>CTD-001</v>
      </c>
      <c r="B17" s="19">
        <v>3</v>
      </c>
      <c r="C17" s="19" t="str">
        <v>No problems noted</v>
      </c>
      <c r="D17" s="19">
        <v>200</v>
      </c>
      <c r="E17" s="37" t="str">
        <v>OXY-025</v>
      </c>
      <c r="F17" s="19">
        <f>LOOKUP(E17,'++OxygenParameters++'!$A$2:$A$49,'++OxygenParameters++'!$B$2:$B$49)</f>
        <v>139.82799928978994</v>
      </c>
      <c r="G17" s="41">
        <v>0.35399999999999998</v>
      </c>
      <c r="H17" s="19">
        <v>1</v>
      </c>
      <c r="I17" s="19">
        <f t="shared" ref="I17" si="2">LOOKUP(H17,M:M,V:V)</f>
        <v>1.2733333333333334</v>
      </c>
      <c r="J17" s="19">
        <f t="shared" ref="J17" si="3">LOOKUP(H17,M:M,W:W)</f>
        <v>2E-3</v>
      </c>
      <c r="K17" s="3">
        <f>(((((G17-J17)*$D$4*$D$3*5598)/(I17-J17))-1000*0.0017)/(F17-2))</f>
        <v>1.3824088500944662</v>
      </c>
      <c r="L17" s="19"/>
    </row>
    <row r="18" spans="1:12" x14ac:dyDescent="0.2">
      <c r="A18" s="19" t="str">
        <v>CTD-001</v>
      </c>
      <c r="B18" s="19">
        <v>3</v>
      </c>
      <c r="C18" s="19" t="str">
        <v>No problems noted</v>
      </c>
      <c r="D18" s="19">
        <v>200</v>
      </c>
      <c r="E18" s="37" t="str">
        <v>OXY-026</v>
      </c>
      <c r="F18" s="19">
        <f>LOOKUP(E18,'++OxygenParameters++'!$A$2:$A$49,'++OxygenParameters++'!$B$2:$B$49)</f>
        <v>141.12035178551869</v>
      </c>
      <c r="G18" s="41">
        <v>0.35799999999999998</v>
      </c>
      <c r="H18" s="19">
        <v>1</v>
      </c>
      <c r="I18" s="19">
        <f t="shared" ref="I18:I81" si="4">LOOKUP(H18,M:M,V:V)</f>
        <v>1.2733333333333334</v>
      </c>
      <c r="J18" s="19">
        <f t="shared" ref="J18:J81" si="5">LOOKUP(H18,M:M,W:W)</f>
        <v>2E-3</v>
      </c>
      <c r="K18" s="3">
        <f t="shared" ref="K18:K81" si="6">(((((G18-J18)*$D$4*$D$3*5598)/(I18-J18))-1000*0.0017)/(F18-2))</f>
        <v>1.3852691439414457</v>
      </c>
      <c r="L18" s="19"/>
    </row>
    <row r="19" spans="1:12" x14ac:dyDescent="0.2">
      <c r="A19" s="19" t="str">
        <v>CTD-001</v>
      </c>
      <c r="B19" s="19">
        <v>7</v>
      </c>
      <c r="C19" s="19" t="str">
        <v>No problems noted</v>
      </c>
      <c r="D19" s="19">
        <v>160</v>
      </c>
      <c r="E19" s="37" t="str">
        <v>OXY-027</v>
      </c>
      <c r="F19" s="19">
        <f>LOOKUP(E19,'++OxygenParameters++'!$A$2:$A$49,'++OxygenParameters++'!$B$2:$B$49)</f>
        <v>140.5453572704084</v>
      </c>
      <c r="G19" s="41">
        <v>0.36399999999999999</v>
      </c>
      <c r="H19" s="19">
        <v>1</v>
      </c>
      <c r="I19" s="19">
        <f t="shared" si="4"/>
        <v>1.2733333333333334</v>
      </c>
      <c r="J19" s="19">
        <f t="shared" si="5"/>
        <v>2E-3</v>
      </c>
      <c r="K19" s="3">
        <f t="shared" si="6"/>
        <v>1.4146692563708798</v>
      </c>
      <c r="L19" s="19"/>
    </row>
    <row r="20" spans="1:12" x14ac:dyDescent="0.2">
      <c r="A20" s="19" t="str">
        <v>CTD-001</v>
      </c>
      <c r="B20" s="19">
        <v>7</v>
      </c>
      <c r="C20" s="19" t="str">
        <v>No problems noted</v>
      </c>
      <c r="D20" s="19">
        <v>160</v>
      </c>
      <c r="E20" s="37" t="str">
        <v>OXY-028</v>
      </c>
      <c r="F20" s="19">
        <f>LOOKUP(E20,'++OxygenParameters++'!$A$2:$A$49,'++OxygenParameters++'!$B$2:$B$49)</f>
        <v>138.93983555631596</v>
      </c>
      <c r="G20" s="41">
        <v>0.36</v>
      </c>
      <c r="H20" s="19">
        <v>1</v>
      </c>
      <c r="I20" s="19">
        <f t="shared" si="4"/>
        <v>1.2733333333333334</v>
      </c>
      <c r="J20" s="19">
        <f t="shared" si="5"/>
        <v>2E-3</v>
      </c>
      <c r="K20" s="3">
        <f t="shared" si="6"/>
        <v>1.415303093816872</v>
      </c>
      <c r="L20" s="19"/>
    </row>
    <row r="21" spans="1:12" x14ac:dyDescent="0.2">
      <c r="A21" s="19" t="str">
        <v>CTD-001</v>
      </c>
      <c r="B21" s="19">
        <v>11</v>
      </c>
      <c r="C21" s="19" t="str">
        <v>No problems noted</v>
      </c>
      <c r="D21" s="19">
        <v>120</v>
      </c>
      <c r="E21" s="37" t="str">
        <v>OXY-029</v>
      </c>
      <c r="F21" s="19">
        <f>LOOKUP(E21,'++OxygenParameters++'!$A$2:$A$49,'++OxygenParameters++'!$B$2:$B$49)</f>
        <v>141.42564496568471</v>
      </c>
      <c r="G21" s="41">
        <v>0.56599999999999995</v>
      </c>
      <c r="H21" s="19">
        <v>1</v>
      </c>
      <c r="I21" s="19">
        <f t="shared" si="4"/>
        <v>1.2733333333333334</v>
      </c>
      <c r="J21" s="19">
        <f t="shared" si="5"/>
        <v>2E-3</v>
      </c>
      <c r="K21" s="3">
        <f t="shared" si="6"/>
        <v>2.196958318626161</v>
      </c>
      <c r="L21" s="19"/>
    </row>
    <row r="22" spans="1:12" x14ac:dyDescent="0.2">
      <c r="A22" s="19" t="str">
        <v>CTD-001</v>
      </c>
      <c r="B22" s="19">
        <v>11</v>
      </c>
      <c r="C22" s="19" t="str">
        <v>No problems noted</v>
      </c>
      <c r="D22" s="19">
        <v>120</v>
      </c>
      <c r="E22" s="37" t="str">
        <v>OXY-030</v>
      </c>
      <c r="F22" s="19">
        <f>LOOKUP(E22,'++OxygenParameters++'!$A$2:$A$49,'++OxygenParameters++'!$B$2:$B$49)</f>
        <v>140.71136301152507</v>
      </c>
      <c r="G22" s="41">
        <v>0.56200000000000006</v>
      </c>
      <c r="H22" s="19">
        <v>1</v>
      </c>
      <c r="I22" s="19">
        <f t="shared" si="4"/>
        <v>1.2733333333333334</v>
      </c>
      <c r="J22" s="19">
        <f t="shared" si="5"/>
        <v>2E-3</v>
      </c>
      <c r="K22" s="3">
        <f t="shared" si="6"/>
        <v>2.1925229434748692</v>
      </c>
      <c r="L22" s="19"/>
    </row>
    <row r="23" spans="1:12" x14ac:dyDescent="0.2">
      <c r="A23" s="19" t="str">
        <v>CTD-001</v>
      </c>
      <c r="B23" s="19">
        <v>14</v>
      </c>
      <c r="C23" s="19" t="str">
        <v>No problems noted</v>
      </c>
      <c r="D23" s="19">
        <v>100</v>
      </c>
      <c r="E23" s="37" t="str">
        <v>OXY-031</v>
      </c>
      <c r="F23" s="19">
        <f>LOOKUP(E23,'++OxygenParameters++'!$A$2:$A$49,'++OxygenParameters++'!$B$2:$B$49)</f>
        <v>140.18935856244096</v>
      </c>
      <c r="G23" s="41">
        <v>0.71499999999999997</v>
      </c>
      <c r="H23" s="19">
        <v>1</v>
      </c>
      <c r="I23" s="19">
        <f t="shared" si="4"/>
        <v>1.2733333333333334</v>
      </c>
      <c r="J23" s="19">
        <f t="shared" si="5"/>
        <v>2E-3</v>
      </c>
      <c r="K23" s="3">
        <f t="shared" si="6"/>
        <v>2.8054575723627497</v>
      </c>
      <c r="L23" s="19"/>
    </row>
    <row r="24" spans="1:12" x14ac:dyDescent="0.2">
      <c r="A24" s="19" t="str">
        <v>CTD-001</v>
      </c>
      <c r="B24" s="19">
        <v>14</v>
      </c>
      <c r="C24" s="19" t="str">
        <v>No problems noted</v>
      </c>
      <c r="D24" s="19">
        <v>100</v>
      </c>
      <c r="E24" s="37" t="str">
        <v>OXY-032</v>
      </c>
      <c r="F24" s="19">
        <f>LOOKUP(E24,'++OxygenParameters++'!$A$2:$A$49,'++OxygenParameters++'!$B$2:$B$49)</f>
        <v>140.15112756577398</v>
      </c>
      <c r="G24" s="41">
        <v>0.71599999999999997</v>
      </c>
      <c r="H24" s="19">
        <v>1</v>
      </c>
      <c r="I24" s="19">
        <f t="shared" si="4"/>
        <v>1.2733333333333334</v>
      </c>
      <c r="J24" s="19">
        <f t="shared" si="5"/>
        <v>2E-3</v>
      </c>
      <c r="K24" s="3">
        <f t="shared" si="6"/>
        <v>2.8101870060202643</v>
      </c>
      <c r="L24" s="19"/>
    </row>
    <row r="25" spans="1:12" x14ac:dyDescent="0.2">
      <c r="A25" s="19" t="str">
        <v>CTD-001</v>
      </c>
      <c r="B25" s="19">
        <v>16</v>
      </c>
      <c r="C25" s="19" t="str">
        <v>No problems noted</v>
      </c>
      <c r="D25" s="19">
        <v>80</v>
      </c>
      <c r="E25" s="37" t="str">
        <v>OXY-033</v>
      </c>
      <c r="F25" s="19">
        <f>LOOKUP(E25,'++OxygenParameters++'!$A$2:$A$49,'++OxygenParameters++'!$B$2:$B$49)</f>
        <v>140.44018454299524</v>
      </c>
      <c r="G25" s="41">
        <v>0.874</v>
      </c>
      <c r="H25" s="19">
        <v>1</v>
      </c>
      <c r="I25" s="19">
        <f t="shared" si="4"/>
        <v>1.2733333333333334</v>
      </c>
      <c r="J25" s="19">
        <f t="shared" si="5"/>
        <v>2E-3</v>
      </c>
      <c r="K25" s="3">
        <f t="shared" si="6"/>
        <v>3.4276005002557639</v>
      </c>
      <c r="L25" s="19"/>
    </row>
    <row r="26" spans="1:12" x14ac:dyDescent="0.2">
      <c r="A26" s="19" t="str">
        <v>CTD-001</v>
      </c>
      <c r="B26" s="19">
        <v>16</v>
      </c>
      <c r="C26" s="19" t="str">
        <v>No problems noted</v>
      </c>
      <c r="D26" s="19">
        <v>80</v>
      </c>
      <c r="E26" s="37" t="str">
        <v>OXY-034</v>
      </c>
      <c r="F26" s="19">
        <f>LOOKUP(E26,'++OxygenParameters++'!$A$2:$A$49,'++OxygenParameters++'!$B$2:$B$49)</f>
        <v>136.87371747081994</v>
      </c>
      <c r="G26" s="41">
        <v>0.85399999999999998</v>
      </c>
      <c r="H26" s="19">
        <v>1</v>
      </c>
      <c r="I26" s="19">
        <f t="shared" si="4"/>
        <v>1.2733333333333334</v>
      </c>
      <c r="J26" s="19">
        <f t="shared" si="5"/>
        <v>2E-3</v>
      </c>
      <c r="K26" s="3">
        <f t="shared" si="6"/>
        <v>3.4372539840957215</v>
      </c>
      <c r="L26" s="19"/>
    </row>
    <row r="27" spans="1:12" x14ac:dyDescent="0.2">
      <c r="A27" s="19" t="str">
        <v>CTD-001</v>
      </c>
      <c r="B27" s="19">
        <v>18</v>
      </c>
      <c r="C27" s="19" t="str">
        <v>No problems noted</v>
      </c>
      <c r="D27" s="19">
        <v>60</v>
      </c>
      <c r="E27" s="37" t="str">
        <v>OXY-035</v>
      </c>
      <c r="F27" s="19">
        <f>LOOKUP(E27,'++OxygenParameters++'!$A$2:$A$49,'++OxygenParameters++'!$B$2:$B$49)</f>
        <v>142.63345801702329</v>
      </c>
      <c r="G27" s="41">
        <v>1.054</v>
      </c>
      <c r="H27" s="19">
        <v>1</v>
      </c>
      <c r="I27" s="19">
        <f t="shared" si="4"/>
        <v>1.2733333333333334</v>
      </c>
      <c r="J27" s="19">
        <f t="shared" si="5"/>
        <v>2E-3</v>
      </c>
      <c r="K27" s="3">
        <f t="shared" si="6"/>
        <v>4.0731377972941631</v>
      </c>
      <c r="L27" s="19"/>
    </row>
    <row r="28" spans="1:12" x14ac:dyDescent="0.2">
      <c r="A28" s="19" t="str">
        <v>CTD-001</v>
      </c>
      <c r="B28" s="19">
        <v>18</v>
      </c>
      <c r="C28" s="19" t="str">
        <v>No problems noted</v>
      </c>
      <c r="D28" s="19">
        <v>60</v>
      </c>
      <c r="E28" s="37" t="str">
        <v>OXY-036</v>
      </c>
      <c r="F28" s="19">
        <f>LOOKUP(E28,'++OxygenParameters++'!$A$2:$A$49,'++OxygenParameters++'!$B$2:$B$49)</f>
        <v>143.19461954236044</v>
      </c>
      <c r="G28" s="41">
        <v>1.06</v>
      </c>
      <c r="H28" s="19">
        <v>1</v>
      </c>
      <c r="I28" s="19">
        <f t="shared" si="4"/>
        <v>1.2733333333333334</v>
      </c>
      <c r="J28" s="19">
        <f t="shared" si="5"/>
        <v>2E-3</v>
      </c>
      <c r="K28" s="3">
        <f t="shared" si="6"/>
        <v>4.0801567524397795</v>
      </c>
      <c r="L28" s="19"/>
    </row>
    <row r="29" spans="1:12" x14ac:dyDescent="0.2">
      <c r="A29" s="19" t="str">
        <v>CTD-001</v>
      </c>
      <c r="B29" s="19">
        <v>21</v>
      </c>
      <c r="C29" s="19" t="str">
        <v>Leaking</v>
      </c>
      <c r="D29" s="19">
        <v>20</v>
      </c>
      <c r="E29" s="37" t="str">
        <v>OXY-037</v>
      </c>
      <c r="F29" s="19">
        <f>LOOKUP(E29,'++OxygenParameters++'!$A$2:$A$49,'++OxygenParameters++'!$B$2:$B$49)</f>
        <v>141.38213083960898</v>
      </c>
      <c r="G29" s="41">
        <v>1.3540000000000001</v>
      </c>
      <c r="H29" s="19">
        <v>1</v>
      </c>
      <c r="I29" s="19">
        <f t="shared" si="4"/>
        <v>1.2733333333333334</v>
      </c>
      <c r="J29" s="19">
        <f t="shared" si="5"/>
        <v>2E-3</v>
      </c>
      <c r="K29" s="3">
        <f t="shared" si="6"/>
        <v>5.2851523721604217</v>
      </c>
      <c r="L29" s="19"/>
    </row>
    <row r="30" spans="1:12" x14ac:dyDescent="0.2">
      <c r="A30" s="19" t="str">
        <v>CTD-001</v>
      </c>
      <c r="B30" s="19">
        <v>21</v>
      </c>
      <c r="C30" s="19" t="str">
        <v>Leaking</v>
      </c>
      <c r="D30" s="19">
        <v>20</v>
      </c>
      <c r="E30" s="37" t="str">
        <v>OXY-038</v>
      </c>
      <c r="F30" s="19">
        <f>LOOKUP(E30,'++OxygenParameters++'!$A$2:$A$49,'++OxygenParameters++'!$B$2:$B$49)</f>
        <v>137.09025998620626</v>
      </c>
      <c r="G30" s="41">
        <v>1.32</v>
      </c>
      <c r="H30" s="19">
        <v>1</v>
      </c>
      <c r="I30" s="19">
        <f t="shared" si="4"/>
        <v>1.2733333333333334</v>
      </c>
      <c r="J30" s="19">
        <f t="shared" si="5"/>
        <v>2E-3</v>
      </c>
      <c r="K30" s="3">
        <f t="shared" si="6"/>
        <v>5.3156140220640289</v>
      </c>
      <c r="L30" s="19"/>
    </row>
    <row r="31" spans="1:12" x14ac:dyDescent="0.2">
      <c r="A31" s="19" t="str">
        <v>CTD-001</v>
      </c>
      <c r="B31" s="19">
        <v>23</v>
      </c>
      <c r="C31" s="19" t="str">
        <v>No problems noted</v>
      </c>
      <c r="D31" s="19">
        <v>10</v>
      </c>
      <c r="E31" s="37" t="str">
        <v>OXY-039</v>
      </c>
      <c r="F31" s="19">
        <f>LOOKUP(E31,'++OxygenParameters++'!$A$2:$A$49,'++OxygenParameters++'!$B$2:$B$49)</f>
        <v>138.87787176426485</v>
      </c>
      <c r="G31" s="41">
        <v>1.69</v>
      </c>
      <c r="H31" s="19">
        <v>1</v>
      </c>
      <c r="I31" s="19">
        <f t="shared" si="4"/>
        <v>1.2733333333333334</v>
      </c>
      <c r="J31" s="19">
        <f t="shared" si="5"/>
        <v>2E-3</v>
      </c>
      <c r="K31" s="3">
        <f t="shared" si="6"/>
        <v>6.7224343506926489</v>
      </c>
      <c r="L31" s="19"/>
    </row>
    <row r="32" spans="1:12" x14ac:dyDescent="0.2">
      <c r="A32" s="19" t="str">
        <v>CTD-001</v>
      </c>
      <c r="B32" s="19">
        <v>23</v>
      </c>
      <c r="C32" s="19" t="str">
        <v>No problems noted</v>
      </c>
      <c r="D32" s="19">
        <v>10</v>
      </c>
      <c r="E32" s="37" t="str">
        <v>OXY-040</v>
      </c>
      <c r="F32" s="19">
        <f>LOOKUP(E32,'++OxygenParameters++'!$A$2:$A$49,'++OxygenParameters++'!$B$2:$B$49)</f>
        <v>142.28305589191112</v>
      </c>
      <c r="G32" s="41">
        <v>1.738</v>
      </c>
      <c r="H32" s="19">
        <v>1</v>
      </c>
      <c r="I32" s="19">
        <f t="shared" si="4"/>
        <v>1.2733333333333334</v>
      </c>
      <c r="J32" s="19">
        <f t="shared" si="5"/>
        <v>2E-3</v>
      </c>
      <c r="K32" s="3">
        <f t="shared" si="6"/>
        <v>6.7461199525896012</v>
      </c>
      <c r="L32" s="19"/>
    </row>
    <row r="33" spans="1:12" x14ac:dyDescent="0.2">
      <c r="A33" s="19" t="str">
        <v>J2-1696</v>
      </c>
      <c r="B33" s="19" t="str">
        <v>Aft</v>
      </c>
      <c r="C33" s="19" t="str">
        <v>No problems noted</v>
      </c>
      <c r="D33" s="19">
        <v>197</v>
      </c>
      <c r="E33" s="37" t="str">
        <v>OXY-041</v>
      </c>
      <c r="F33" s="19">
        <f>LOOKUP(E33,'++OxygenParameters++'!$A$2:$A$49,'++OxygenParameters++'!$B$2:$B$49)</f>
        <v>138.88909957516373</v>
      </c>
      <c r="G33" s="41">
        <v>0.39600000000000002</v>
      </c>
      <c r="H33" s="19">
        <v>1</v>
      </c>
      <c r="I33" s="19">
        <f t="shared" si="4"/>
        <v>1.2733333333333334</v>
      </c>
      <c r="J33" s="19">
        <f t="shared" si="5"/>
        <v>2E-3</v>
      </c>
      <c r="K33" s="3">
        <f t="shared" si="6"/>
        <v>1.5594502054275208</v>
      </c>
      <c r="L33" s="19"/>
    </row>
    <row r="34" spans="1:12" x14ac:dyDescent="0.2">
      <c r="A34" s="19" t="str">
        <v>J2-1696</v>
      </c>
      <c r="B34" s="19" t="str">
        <v>Aft</v>
      </c>
      <c r="C34" s="19" t="str">
        <v>No problems noted</v>
      </c>
      <c r="D34" s="19">
        <v>197</v>
      </c>
      <c r="E34" s="37" t="str">
        <v>OXY-042</v>
      </c>
      <c r="F34" s="19">
        <f>LOOKUP(E34,'++OxygenParameters++'!$A$2:$A$49,'++OxygenParameters++'!$B$2:$B$49)</f>
        <v>140.65264344106296</v>
      </c>
      <c r="G34" s="41">
        <v>0.376</v>
      </c>
      <c r="H34" s="19">
        <v>1</v>
      </c>
      <c r="I34" s="19">
        <f t="shared" si="4"/>
        <v>1.2733333333333334</v>
      </c>
      <c r="J34" s="19">
        <f t="shared" si="5"/>
        <v>2E-3</v>
      </c>
      <c r="K34" s="3">
        <f t="shared" si="6"/>
        <v>1.4608398827295397</v>
      </c>
      <c r="L34" s="19"/>
    </row>
    <row r="35" spans="1:12" x14ac:dyDescent="0.2">
      <c r="A35" s="19" t="str">
        <v>J2-1698</v>
      </c>
      <c r="B35" s="19" t="str">
        <v>Forward</v>
      </c>
      <c r="C35" s="19" t="str">
        <v>No problems noted</v>
      </c>
      <c r="D35" s="19">
        <v>197</v>
      </c>
      <c r="E35" s="37" t="str">
        <v>OXY-043</v>
      </c>
      <c r="F35" s="19">
        <f>LOOKUP(E35,'++OxygenParameters++'!$A$2:$A$49,'++OxygenParameters++'!$B$2:$B$49)</f>
        <v>138.23959584504792</v>
      </c>
      <c r="G35" s="41">
        <v>0.374</v>
      </c>
      <c r="H35" s="19">
        <v>1</v>
      </c>
      <c r="I35" s="19">
        <f t="shared" si="4"/>
        <v>1.2733333333333334</v>
      </c>
      <c r="J35" s="19">
        <f t="shared" si="5"/>
        <v>2E-3</v>
      </c>
      <c r="K35" s="3">
        <f t="shared" si="6"/>
        <v>1.4786969076658218</v>
      </c>
      <c r="L35" s="19"/>
    </row>
    <row r="36" spans="1:12" x14ac:dyDescent="0.2">
      <c r="A36" s="19" t="str">
        <v>J2-1698</v>
      </c>
      <c r="B36" s="19" t="str">
        <v>Forward</v>
      </c>
      <c r="C36" s="19" t="str">
        <v>No problems noted</v>
      </c>
      <c r="D36" s="19">
        <v>197</v>
      </c>
      <c r="E36" s="37" t="str">
        <v>OXY-044</v>
      </c>
      <c r="F36" s="19">
        <f>LOOKUP(E36,'++OxygenParameters++'!$A$2:$A$49,'++OxygenParameters++'!$B$2:$B$49)</f>
        <v>141.35374581814415</v>
      </c>
      <c r="G36" s="41">
        <v>0.38400000000000001</v>
      </c>
      <c r="H36" s="19">
        <v>1</v>
      </c>
      <c r="I36" s="19">
        <f t="shared" si="4"/>
        <v>1.2733333333333334</v>
      </c>
      <c r="J36" s="19">
        <f t="shared" si="5"/>
        <v>2E-3</v>
      </c>
      <c r="K36" s="3">
        <f t="shared" si="6"/>
        <v>1.4848418992775985</v>
      </c>
      <c r="L36" s="19"/>
    </row>
    <row r="37" spans="1:12" x14ac:dyDescent="0.2">
      <c r="A37" s="19" t="str">
        <v>CTD-002</v>
      </c>
      <c r="B37" s="19">
        <v>1</v>
      </c>
      <c r="C37" s="19" t="str">
        <v>No problems noted</v>
      </c>
      <c r="D37" s="19">
        <v>220</v>
      </c>
      <c r="E37" s="37" t="str">
        <v>OXY-001</v>
      </c>
      <c r="F37" s="19">
        <f>LOOKUP(E37,'++OxygenParameters++'!$A$2:$A$49,'++OxygenParameters++'!$B$2:$B$49)</f>
        <v>140.80133251291429</v>
      </c>
      <c r="G37" s="41">
        <v>0.628</v>
      </c>
      <c r="H37" s="19">
        <v>1</v>
      </c>
      <c r="I37" s="19">
        <f t="shared" si="4"/>
        <v>1.2733333333333334</v>
      </c>
      <c r="J37" s="19">
        <f t="shared" si="5"/>
        <v>2E-3</v>
      </c>
      <c r="K37" s="3">
        <f t="shared" si="6"/>
        <v>2.4507822503683894</v>
      </c>
      <c r="L37" s="19"/>
    </row>
    <row r="38" spans="1:12" x14ac:dyDescent="0.2">
      <c r="A38" s="19" t="str">
        <v>CTD-002</v>
      </c>
      <c r="B38" s="19">
        <v>1</v>
      </c>
      <c r="C38" s="19" t="str">
        <v>No problems noted</v>
      </c>
      <c r="D38" s="19">
        <v>220</v>
      </c>
      <c r="E38" s="37" t="str">
        <v>OXY-002</v>
      </c>
      <c r="F38" s="19">
        <f>LOOKUP(E38,'++OxygenParameters++'!$A$2:$A$49,'++OxygenParameters++'!$B$2:$B$49)</f>
        <v>141.39978411671305</v>
      </c>
      <c r="G38" s="41">
        <v>0.628</v>
      </c>
      <c r="H38" s="19">
        <v>1</v>
      </c>
      <c r="I38" s="19">
        <f t="shared" si="4"/>
        <v>1.2733333333333334</v>
      </c>
      <c r="J38" s="19">
        <f t="shared" si="5"/>
        <v>2E-3</v>
      </c>
      <c r="K38" s="3">
        <f t="shared" si="6"/>
        <v>2.4402608957078504</v>
      </c>
      <c r="L38" s="19"/>
    </row>
    <row r="39" spans="1:12" x14ac:dyDescent="0.2">
      <c r="A39" s="19" t="str">
        <v>CTD-002</v>
      </c>
      <c r="B39" s="19">
        <v>7</v>
      </c>
      <c r="C39" s="19" t="str">
        <v>No problems noted</v>
      </c>
      <c r="D39" s="19">
        <v>160</v>
      </c>
      <c r="E39" s="37" t="str">
        <v>OXY-003</v>
      </c>
      <c r="F39" s="19">
        <f>LOOKUP(E39,'++OxygenParameters++'!$A$2:$A$49,'++OxygenParameters++'!$B$2:$B$49)</f>
        <v>140.78129532314443</v>
      </c>
      <c r="G39" s="41">
        <v>0.84</v>
      </c>
      <c r="H39" s="19">
        <v>1</v>
      </c>
      <c r="I39" s="19">
        <f t="shared" si="4"/>
        <v>1.2733333333333334</v>
      </c>
      <c r="J39" s="19">
        <f t="shared" si="5"/>
        <v>2E-3</v>
      </c>
      <c r="K39" s="3">
        <f t="shared" si="6"/>
        <v>3.2853816900659245</v>
      </c>
      <c r="L39" s="19" t="s">
        <v>424</v>
      </c>
    </row>
    <row r="40" spans="1:12" x14ac:dyDescent="0.2">
      <c r="A40" s="19" t="str">
        <v>CTD-002</v>
      </c>
      <c r="B40" s="19">
        <v>7</v>
      </c>
      <c r="C40" s="19" t="str">
        <v>No problems noted</v>
      </c>
      <c r="D40" s="19">
        <v>160</v>
      </c>
      <c r="E40" s="37" t="str">
        <v>OXY-004</v>
      </c>
      <c r="F40" s="19">
        <f>LOOKUP(E40,'++OxygenParameters++'!$A$2:$A$49,'++OxygenParameters++'!$B$2:$B$49)</f>
        <v>141.24810732808774</v>
      </c>
      <c r="G40" s="41">
        <v>0.84199999999999997</v>
      </c>
      <c r="H40" s="19">
        <v>1</v>
      </c>
      <c r="I40" s="19">
        <f t="shared" si="4"/>
        <v>1.2733333333333334</v>
      </c>
      <c r="J40" s="19">
        <f t="shared" si="5"/>
        <v>2E-3</v>
      </c>
      <c r="K40" s="3">
        <f t="shared" si="6"/>
        <v>3.2822117129987736</v>
      </c>
      <c r="L40" s="19"/>
    </row>
    <row r="41" spans="1:12" x14ac:dyDescent="0.2">
      <c r="A41" s="19" t="str">
        <v>CTD-002</v>
      </c>
      <c r="B41" s="19">
        <v>11</v>
      </c>
      <c r="C41" s="19" t="str">
        <v>No problems noted</v>
      </c>
      <c r="D41" s="19">
        <v>120</v>
      </c>
      <c r="E41" s="37" t="str">
        <v>OXY-005</v>
      </c>
      <c r="F41" s="19">
        <f>LOOKUP(E41,'++OxygenParameters++'!$A$2:$A$49,'++OxygenParameters++'!$B$2:$B$49)</f>
        <v>139.10877400564874</v>
      </c>
      <c r="G41" s="41">
        <v>1.002</v>
      </c>
      <c r="H41" s="19">
        <v>1</v>
      </c>
      <c r="I41" s="19">
        <f t="shared" si="4"/>
        <v>1.2733333333333334</v>
      </c>
      <c r="J41" s="19">
        <f t="shared" si="5"/>
        <v>2E-3</v>
      </c>
      <c r="K41" s="3">
        <f t="shared" si="6"/>
        <v>3.9707243929719955</v>
      </c>
      <c r="L41" s="19"/>
    </row>
    <row r="42" spans="1:12" x14ac:dyDescent="0.2">
      <c r="A42" s="19" t="str">
        <v>CTD-002</v>
      </c>
      <c r="B42" s="19">
        <v>11</v>
      </c>
      <c r="C42" s="19" t="str">
        <v>No problems noted</v>
      </c>
      <c r="D42" s="19">
        <v>120</v>
      </c>
      <c r="E42" s="37" t="str">
        <v>OXY-006</v>
      </c>
      <c r="F42" s="19">
        <f>LOOKUP(E42,'++OxygenParameters++'!$A$2:$A$49,'++OxygenParameters++'!$B$2:$B$49)</f>
        <v>139.33978823851609</v>
      </c>
      <c r="G42" s="41">
        <v>1.004</v>
      </c>
      <c r="H42" s="19">
        <v>1</v>
      </c>
      <c r="I42" s="19">
        <f t="shared" si="4"/>
        <v>1.2733333333333334</v>
      </c>
      <c r="J42" s="19">
        <f t="shared" si="5"/>
        <v>2E-3</v>
      </c>
      <c r="K42" s="3">
        <f t="shared" si="6"/>
        <v>3.9719982296331926</v>
      </c>
      <c r="L42" s="19"/>
    </row>
    <row r="43" spans="1:12" x14ac:dyDescent="0.2">
      <c r="A43" s="19" t="str">
        <v>CTD-002</v>
      </c>
      <c r="B43" s="19">
        <v>14</v>
      </c>
      <c r="C43" s="19" t="str">
        <v>No problems noted</v>
      </c>
      <c r="D43" s="19">
        <v>100</v>
      </c>
      <c r="E43" s="37" t="str">
        <v>OXY-007</v>
      </c>
      <c r="F43" s="19">
        <f>LOOKUP(E43,'++OxygenParameters++'!$A$2:$A$49,'++OxygenParameters++'!$B$2:$B$49)</f>
        <v>140.81194228659652</v>
      </c>
      <c r="G43" s="41">
        <v>0.89800000000000002</v>
      </c>
      <c r="H43" s="19">
        <v>1</v>
      </c>
      <c r="I43" s="19">
        <f t="shared" si="4"/>
        <v>1.2733333333333334</v>
      </c>
      <c r="J43" s="19">
        <f t="shared" si="5"/>
        <v>2E-3</v>
      </c>
      <c r="K43" s="3">
        <f t="shared" si="6"/>
        <v>3.5128429546121862</v>
      </c>
      <c r="L43" s="19"/>
    </row>
    <row r="44" spans="1:12" x14ac:dyDescent="0.2">
      <c r="A44" s="19" t="str">
        <v>CTD-002</v>
      </c>
      <c r="B44" s="19">
        <v>14</v>
      </c>
      <c r="C44" s="19" t="str">
        <v>No problems noted</v>
      </c>
      <c r="D44" s="19">
        <v>100</v>
      </c>
      <c r="E44" s="37" t="str">
        <v>OXY-008</v>
      </c>
      <c r="F44" s="19">
        <f>LOOKUP(E44,'++OxygenParameters++'!$A$2:$A$49,'++OxygenParameters++'!$B$2:$B$49)</f>
        <v>140.22113727698931</v>
      </c>
      <c r="G44" s="42">
        <v>0.89200000000000002</v>
      </c>
      <c r="H44" s="19">
        <v>1</v>
      </c>
      <c r="I44" s="19">
        <f t="shared" si="4"/>
        <v>1.2733333333333334</v>
      </c>
      <c r="J44" s="19">
        <f t="shared" si="5"/>
        <v>2E-3</v>
      </c>
      <c r="K44" s="3">
        <f t="shared" si="6"/>
        <v>3.5041516521911049</v>
      </c>
      <c r="L44" s="19"/>
    </row>
    <row r="45" spans="1:12" x14ac:dyDescent="0.2">
      <c r="A45" s="19" t="str">
        <v>CTD-002</v>
      </c>
      <c r="B45" s="19">
        <v>16</v>
      </c>
      <c r="C45" s="19" t="str">
        <v>No problems noted</v>
      </c>
      <c r="D45" s="19">
        <v>80</v>
      </c>
      <c r="E45" s="37" t="str">
        <v>OXY-009</v>
      </c>
      <c r="F45" s="19">
        <f>LOOKUP(E45,'++OxygenParameters++'!$A$2:$A$49,'++OxygenParameters++'!$B$2:$B$49)</f>
        <v>137.50723787565539</v>
      </c>
      <c r="G45" s="42">
        <v>0.98599999999999999</v>
      </c>
      <c r="H45" s="19">
        <v>1</v>
      </c>
      <c r="I45" s="19">
        <f t="shared" si="4"/>
        <v>1.2733333333333334</v>
      </c>
      <c r="J45" s="19">
        <f t="shared" si="5"/>
        <v>2E-3</v>
      </c>
      <c r="K45" s="3">
        <f t="shared" si="6"/>
        <v>3.9531704975885797</v>
      </c>
      <c r="L45" s="19"/>
    </row>
    <row r="46" spans="1:12" x14ac:dyDescent="0.2">
      <c r="A46" s="19" t="str">
        <v>CTD-002</v>
      </c>
      <c r="B46" s="19">
        <v>16</v>
      </c>
      <c r="C46" s="19" t="str">
        <v>No problems noted</v>
      </c>
      <c r="D46" s="19">
        <v>80</v>
      </c>
      <c r="E46" s="37" t="str">
        <v>OXY-010</v>
      </c>
      <c r="F46" s="19">
        <f>LOOKUP(E46,'++OxygenParameters++'!$A$2:$A$49,'++OxygenParameters++'!$B$2:$B$49)</f>
        <v>142.78041215917332</v>
      </c>
      <c r="G46" s="41">
        <v>1.026</v>
      </c>
      <c r="H46" s="19">
        <v>1</v>
      </c>
      <c r="I46" s="19">
        <f t="shared" si="4"/>
        <v>1.2733333333333334</v>
      </c>
      <c r="J46" s="19">
        <f t="shared" si="5"/>
        <v>2E-3</v>
      </c>
      <c r="K46" s="3">
        <f t="shared" si="6"/>
        <v>3.9602672883694816</v>
      </c>
      <c r="L46" s="19"/>
    </row>
    <row r="47" spans="1:12" x14ac:dyDescent="0.2">
      <c r="A47" s="19" t="str">
        <v>CTD-002</v>
      </c>
      <c r="B47" s="19">
        <v>18</v>
      </c>
      <c r="C47" s="19" t="str">
        <v>No problems noted</v>
      </c>
      <c r="D47" s="19">
        <v>60</v>
      </c>
      <c r="E47" s="37" t="str">
        <v>OXY-011</v>
      </c>
      <c r="F47" s="19">
        <f>LOOKUP(E47,'++OxygenParameters++'!$A$2:$A$49,'++OxygenParameters++'!$B$2:$B$49)</f>
        <v>140.6831791803244</v>
      </c>
      <c r="G47" s="41">
        <v>1.1060000000000001</v>
      </c>
      <c r="H47" s="19">
        <v>1</v>
      </c>
      <c r="I47" s="19">
        <f t="shared" si="4"/>
        <v>1.2733333333333334</v>
      </c>
      <c r="J47" s="19">
        <f t="shared" si="5"/>
        <v>2E-3</v>
      </c>
      <c r="K47" s="3">
        <f t="shared" si="6"/>
        <v>4.3351887153537501</v>
      </c>
      <c r="L47" s="19"/>
    </row>
    <row r="48" spans="1:12" x14ac:dyDescent="0.2">
      <c r="A48" s="19" t="str">
        <v>CTD-002</v>
      </c>
      <c r="B48" s="19">
        <v>18</v>
      </c>
      <c r="C48" s="19" t="str">
        <v>No problems noted</v>
      </c>
      <c r="D48" s="19">
        <v>60</v>
      </c>
      <c r="E48" s="37" t="str">
        <v>OXY-012</v>
      </c>
      <c r="F48" s="19">
        <f>LOOKUP(E48,'++OxygenParameters++'!$A$2:$A$49,'++OxygenParameters++'!$B$2:$B$49)</f>
        <v>139.51629736985885</v>
      </c>
      <c r="G48" s="41">
        <v>1.099</v>
      </c>
      <c r="H48" s="19">
        <v>1</v>
      </c>
      <c r="I48" s="19">
        <f t="shared" si="4"/>
        <v>1.2733333333333334</v>
      </c>
      <c r="J48" s="19">
        <f t="shared" si="5"/>
        <v>2E-3</v>
      </c>
      <c r="K48" s="3">
        <f t="shared" si="6"/>
        <v>4.3441753213522745</v>
      </c>
      <c r="L48" s="19"/>
    </row>
    <row r="49" spans="1:12" x14ac:dyDescent="0.2">
      <c r="A49" s="19" t="str">
        <v>CTD-002</v>
      </c>
      <c r="B49" s="19">
        <v>21</v>
      </c>
      <c r="C49" s="19" t="str">
        <v>No problems noted</v>
      </c>
      <c r="D49" s="19">
        <v>20</v>
      </c>
      <c r="E49" s="37" t="str">
        <v>OXY-013</v>
      </c>
      <c r="F49" s="19">
        <f>LOOKUP(E49,'++OxygenParameters++'!$A$2:$A$49,'++OxygenParameters++'!$B$2:$B$49)</f>
        <v>140.66403085114609</v>
      </c>
      <c r="G49" s="41">
        <v>1.64</v>
      </c>
      <c r="H49" s="19">
        <v>1</v>
      </c>
      <c r="I49" s="19">
        <f t="shared" si="4"/>
        <v>1.2733333333333334</v>
      </c>
      <c r="J49" s="19">
        <f t="shared" si="5"/>
        <v>2E-3</v>
      </c>
      <c r="K49" s="3">
        <f t="shared" si="6"/>
        <v>6.4389189023685596</v>
      </c>
      <c r="L49" s="19"/>
    </row>
    <row r="50" spans="1:12" x14ac:dyDescent="0.2">
      <c r="A50" s="19" t="str">
        <v>CTD-002</v>
      </c>
      <c r="B50" s="19">
        <v>21</v>
      </c>
      <c r="C50" s="19" t="str">
        <v>No problems noted</v>
      </c>
      <c r="D50" s="19">
        <v>20</v>
      </c>
      <c r="E50" s="37" t="str">
        <v>OXY-014</v>
      </c>
      <c r="F50" s="19">
        <f>LOOKUP(E50,'++OxygenParameters++'!$A$2:$A$49,'++OxygenParameters++'!$B$2:$B$49)</f>
        <v>140.39470842817286</v>
      </c>
      <c r="G50" s="41">
        <v>1.6379999999999999</v>
      </c>
      <c r="H50" s="19">
        <v>1</v>
      </c>
      <c r="I50" s="19">
        <f t="shared" si="4"/>
        <v>1.2733333333333334</v>
      </c>
      <c r="J50" s="19">
        <f t="shared" si="5"/>
        <v>2E-3</v>
      </c>
      <c r="K50" s="3">
        <f t="shared" si="6"/>
        <v>6.4435571066795125</v>
      </c>
      <c r="L50" s="19" t="s">
        <v>425</v>
      </c>
    </row>
    <row r="51" spans="1:12" x14ac:dyDescent="0.2">
      <c r="A51" s="19" t="str">
        <v>CTD-002</v>
      </c>
      <c r="B51" s="19">
        <v>23</v>
      </c>
      <c r="C51" s="19" t="str">
        <v>No problems noted</v>
      </c>
      <c r="D51" s="19">
        <v>10</v>
      </c>
      <c r="E51" s="37" t="str">
        <v>OXY-016</v>
      </c>
      <c r="F51" s="19">
        <f>LOOKUP(E51,'++OxygenParameters++'!$A$2:$A$49,'++OxygenParameters++'!$B$2:$B$49)</f>
        <v>140.26683839053629</v>
      </c>
      <c r="G51" s="41">
        <v>1.5620000000000001</v>
      </c>
      <c r="H51" s="19">
        <v>1</v>
      </c>
      <c r="I51" s="19">
        <f t="shared" si="4"/>
        <v>1.2733333333333334</v>
      </c>
      <c r="J51" s="19">
        <f t="shared" si="5"/>
        <v>2E-3</v>
      </c>
      <c r="K51" s="3">
        <f t="shared" si="6"/>
        <v>6.1493342095276375</v>
      </c>
      <c r="L51" s="19"/>
    </row>
    <row r="52" spans="1:12" x14ac:dyDescent="0.2">
      <c r="A52" s="19" t="str">
        <v>CTD-002</v>
      </c>
      <c r="B52" s="19">
        <v>23</v>
      </c>
      <c r="C52" s="19" t="str">
        <v>No problems noted</v>
      </c>
      <c r="D52" s="19">
        <v>10</v>
      </c>
      <c r="E52" s="37" t="str">
        <v>OXY-017</v>
      </c>
      <c r="F52" s="19">
        <f>LOOKUP(E52,'++OxygenParameters++'!$A$2:$A$49,'++OxygenParameters++'!$B$2:$B$49)</f>
        <v>135.29738468755733</v>
      </c>
      <c r="G52" s="41">
        <v>1.506</v>
      </c>
      <c r="H52" s="19">
        <v>1</v>
      </c>
      <c r="I52" s="19">
        <f t="shared" si="4"/>
        <v>1.2733333333333334</v>
      </c>
      <c r="J52" s="19">
        <f t="shared" si="5"/>
        <v>2E-3</v>
      </c>
      <c r="K52" s="3">
        <f t="shared" si="6"/>
        <v>6.1491545140744384</v>
      </c>
      <c r="L52" s="19"/>
    </row>
    <row r="53" spans="1:12" x14ac:dyDescent="0.2">
      <c r="A53" s="19" t="str">
        <v>J2-1699</v>
      </c>
      <c r="B53" s="19" t="str">
        <v>Forward</v>
      </c>
      <c r="C53" s="19" t="str">
        <v>No problems noted</v>
      </c>
      <c r="D53" s="19">
        <v>200</v>
      </c>
      <c r="E53" s="37" t="str">
        <v>OXY-018</v>
      </c>
      <c r="F53" s="19">
        <f>LOOKUP(E53,'++OxygenParameters++'!$A$2:$A$49,'++OxygenParameters++'!$B$2:$B$49)</f>
        <v>138.6929640601829</v>
      </c>
      <c r="G53" s="41">
        <v>0.79800000000000004</v>
      </c>
      <c r="H53" s="19">
        <v>1</v>
      </c>
      <c r="I53" s="19">
        <f t="shared" si="4"/>
        <v>1.2733333333333334</v>
      </c>
      <c r="J53" s="19">
        <f t="shared" si="5"/>
        <v>2E-3</v>
      </c>
      <c r="K53" s="3">
        <f t="shared" si="6"/>
        <v>3.1677741507118586</v>
      </c>
      <c r="L53" s="19"/>
    </row>
    <row r="54" spans="1:12" x14ac:dyDescent="0.2">
      <c r="A54" s="19" t="str">
        <v>J2-1699</v>
      </c>
      <c r="B54" s="19" t="str">
        <v>Forward</v>
      </c>
      <c r="C54" s="19" t="str">
        <v>No problems noted</v>
      </c>
      <c r="D54" s="19">
        <v>200</v>
      </c>
      <c r="E54" s="37" t="str">
        <v>OXY-019</v>
      </c>
      <c r="F54" s="19">
        <f>LOOKUP(E54,'++OxygenParameters++'!$A$2:$A$49,'++OxygenParameters++'!$B$2:$B$49)</f>
        <v>137.20899131147266</v>
      </c>
      <c r="G54" s="41">
        <v>0.79400000000000004</v>
      </c>
      <c r="H54" s="19">
        <v>1</v>
      </c>
      <c r="I54" s="19">
        <f t="shared" si="4"/>
        <v>1.2733333333333334</v>
      </c>
      <c r="J54" s="19">
        <f t="shared" si="5"/>
        <v>2E-3</v>
      </c>
      <c r="K54" s="3">
        <f t="shared" si="6"/>
        <v>3.186385382668981</v>
      </c>
      <c r="L54" s="19"/>
    </row>
    <row r="55" spans="1:12" x14ac:dyDescent="0.2">
      <c r="A55" s="19" t="str">
        <v>J2-1702</v>
      </c>
      <c r="B55" s="19" t="str">
        <v>Aft</v>
      </c>
      <c r="C55" s="19" t="str">
        <v>No problems noted</v>
      </c>
      <c r="D55" s="19">
        <v>200</v>
      </c>
      <c r="E55" s="37" t="str">
        <v>OXY-001</v>
      </c>
      <c r="F55" s="19">
        <f>LOOKUP(E55,'++OxygenParameters++'!$A$2:$A$49,'++OxygenParameters++'!$B$2:$B$49)</f>
        <v>140.80133251291429</v>
      </c>
      <c r="G55" s="41">
        <v>0.97199999999999998</v>
      </c>
      <c r="H55" s="19">
        <v>2</v>
      </c>
      <c r="I55" s="19">
        <f t="shared" si="4"/>
        <v>1.252</v>
      </c>
      <c r="J55" s="19">
        <f t="shared" si="5"/>
        <v>2.5000000000000001E-3</v>
      </c>
      <c r="K55" s="3">
        <f t="shared" si="6"/>
        <v>3.8689552067601913</v>
      </c>
      <c r="L55" s="19"/>
    </row>
    <row r="56" spans="1:12" x14ac:dyDescent="0.2">
      <c r="A56" s="19" t="str">
        <v>J2-1702</v>
      </c>
      <c r="B56" s="19" t="str">
        <v>Aft</v>
      </c>
      <c r="C56" s="19" t="str">
        <v>No problems noted</v>
      </c>
      <c r="D56" s="19">
        <v>200</v>
      </c>
      <c r="E56" s="37" t="str">
        <v>OXY-002</v>
      </c>
      <c r="F56" s="19">
        <f>LOOKUP(E56,'++OxygenParameters++'!$A$2:$A$49,'++OxygenParameters++'!$B$2:$B$49)</f>
        <v>141.39978411671305</v>
      </c>
      <c r="G56" s="41">
        <v>0.97199999999999998</v>
      </c>
      <c r="H56" s="19">
        <v>2</v>
      </c>
      <c r="I56" s="19">
        <f t="shared" si="4"/>
        <v>1.252</v>
      </c>
      <c r="J56" s="19">
        <f t="shared" si="5"/>
        <v>2.5000000000000001E-3</v>
      </c>
      <c r="K56" s="3">
        <f t="shared" si="6"/>
        <v>3.852345550847291</v>
      </c>
      <c r="L56" s="19"/>
    </row>
    <row r="57" spans="1:12" x14ac:dyDescent="0.2">
      <c r="A57" s="19" t="str">
        <v>J2-1704</v>
      </c>
      <c r="B57" s="19" t="str">
        <v>Aft</v>
      </c>
      <c r="C57" s="19" t="str">
        <v>No problems noted</v>
      </c>
      <c r="D57" s="19">
        <v>185</v>
      </c>
      <c r="E57" s="37" t="str">
        <v>OXY-003</v>
      </c>
      <c r="F57" s="19">
        <f>LOOKUP(E57,'++OxygenParameters++'!$A$2:$A$49,'++OxygenParameters++'!$B$2:$B$49)</f>
        <v>140.78129532314443</v>
      </c>
      <c r="G57" s="41">
        <v>0.99</v>
      </c>
      <c r="H57" s="19">
        <v>2</v>
      </c>
      <c r="I57" s="19">
        <f t="shared" si="4"/>
        <v>1.252</v>
      </c>
      <c r="J57" s="19">
        <f t="shared" si="5"/>
        <v>2.5000000000000001E-3</v>
      </c>
      <c r="K57" s="3">
        <f t="shared" si="6"/>
        <v>3.9415836753615507</v>
      </c>
      <c r="L57" s="19"/>
    </row>
    <row r="58" spans="1:12" x14ac:dyDescent="0.2">
      <c r="A58" s="19" t="str">
        <v>J2-1704</v>
      </c>
      <c r="B58" s="19" t="str">
        <v>Aft</v>
      </c>
      <c r="C58" s="19" t="str">
        <v>No problems noted</v>
      </c>
      <c r="D58" s="19">
        <v>185</v>
      </c>
      <c r="E58" s="37" t="str">
        <v>OXY-004</v>
      </c>
      <c r="F58" s="19">
        <f>LOOKUP(E58,'++OxygenParameters++'!$A$2:$A$49,'++OxygenParameters++'!$B$2:$B$49)</f>
        <v>141.24810732808774</v>
      </c>
      <c r="G58" s="41">
        <v>0.99199999999999999</v>
      </c>
      <c r="H58" s="19">
        <v>2</v>
      </c>
      <c r="I58" s="19">
        <f t="shared" si="4"/>
        <v>1.252</v>
      </c>
      <c r="J58" s="19">
        <f t="shared" si="5"/>
        <v>2.5000000000000001E-3</v>
      </c>
      <c r="K58" s="3">
        <f t="shared" si="6"/>
        <v>3.9363509234141127</v>
      </c>
      <c r="L58" s="19"/>
    </row>
    <row r="59" spans="1:12" x14ac:dyDescent="0.2">
      <c r="A59" s="19" t="str">
        <v>CTD-004</v>
      </c>
      <c r="B59" s="19">
        <v>1</v>
      </c>
      <c r="C59" s="19" t="str">
        <v>No problems noted</v>
      </c>
      <c r="D59" s="19">
        <v>2600</v>
      </c>
      <c r="E59" s="37" t="str">
        <v>OXY-005</v>
      </c>
      <c r="F59" s="19">
        <f>LOOKUP(E59,'++OxygenParameters++'!$A$2:$A$49,'++OxygenParameters++'!$B$2:$B$49)</f>
        <v>139.10877400564874</v>
      </c>
      <c r="G59" s="41">
        <v>0.43</v>
      </c>
      <c r="H59" s="19">
        <v>2</v>
      </c>
      <c r="I59" s="19">
        <f t="shared" si="4"/>
        <v>1.252</v>
      </c>
      <c r="J59" s="19">
        <f t="shared" si="5"/>
        <v>2.5000000000000001E-3</v>
      </c>
      <c r="K59" s="3">
        <f t="shared" si="6"/>
        <v>1.7201401825947678</v>
      </c>
      <c r="L59" s="19"/>
    </row>
    <row r="60" spans="1:12" x14ac:dyDescent="0.2">
      <c r="A60" s="19" t="str">
        <v>CTD-004</v>
      </c>
      <c r="B60" s="19">
        <v>1</v>
      </c>
      <c r="C60" s="19" t="str">
        <v>No problems noted</v>
      </c>
      <c r="D60" s="19">
        <v>2600</v>
      </c>
      <c r="E60" s="37" t="str">
        <v>OXY-006</v>
      </c>
      <c r="F60" s="19">
        <f>LOOKUP(E60,'++OxygenParameters++'!$A$2:$A$49,'++OxygenParameters++'!$B$2:$B$49)</f>
        <v>139.33978823851609</v>
      </c>
      <c r="G60" s="41">
        <v>0.432</v>
      </c>
      <c r="H60" s="19">
        <v>2</v>
      </c>
      <c r="I60" s="19">
        <f t="shared" si="4"/>
        <v>1.252</v>
      </c>
      <c r="J60" s="19">
        <f t="shared" si="5"/>
        <v>2.5000000000000001E-3</v>
      </c>
      <c r="K60" s="3">
        <f t="shared" si="6"/>
        <v>1.7253386099245305</v>
      </c>
      <c r="L60" s="19"/>
    </row>
    <row r="61" spans="1:12" x14ac:dyDescent="0.2">
      <c r="A61" s="19" t="str">
        <v>CTD-004</v>
      </c>
      <c r="B61" s="19">
        <v>5</v>
      </c>
      <c r="C61" s="19" t="str">
        <v>No problems noted</v>
      </c>
      <c r="D61" s="19">
        <v>2250</v>
      </c>
      <c r="E61" s="37" t="str">
        <v>OXY-007</v>
      </c>
      <c r="F61" s="19">
        <f>LOOKUP(E61,'++OxygenParameters++'!$A$2:$A$49,'++OxygenParameters++'!$B$2:$B$49)</f>
        <v>140.81194228659652</v>
      </c>
      <c r="G61" s="41">
        <v>0.39800000000000002</v>
      </c>
      <c r="H61" s="19">
        <v>2</v>
      </c>
      <c r="I61" s="19">
        <f t="shared" si="4"/>
        <v>1.252</v>
      </c>
      <c r="J61" s="19">
        <f t="shared" si="5"/>
        <v>2.5000000000000001E-3</v>
      </c>
      <c r="K61" s="3">
        <f t="shared" si="6"/>
        <v>1.5709388082014326</v>
      </c>
      <c r="L61" s="19"/>
    </row>
    <row r="62" spans="1:12" x14ac:dyDescent="0.2">
      <c r="A62" s="19" t="str">
        <v>CTD-004</v>
      </c>
      <c r="B62" s="19">
        <v>5</v>
      </c>
      <c r="C62" s="19" t="str">
        <v>No problems noted</v>
      </c>
      <c r="D62" s="19">
        <v>2250</v>
      </c>
      <c r="E62" s="37" t="str">
        <v>OXY-008</v>
      </c>
      <c r="F62" s="19">
        <f>LOOKUP(E62,'++OxygenParameters++'!$A$2:$A$49,'++OxygenParameters++'!$B$2:$B$49)</f>
        <v>140.22113727698931</v>
      </c>
      <c r="G62" s="41">
        <v>0.39400000000000002</v>
      </c>
      <c r="H62" s="19">
        <v>2</v>
      </c>
      <c r="I62" s="19">
        <f t="shared" si="4"/>
        <v>1.252</v>
      </c>
      <c r="J62" s="19">
        <f t="shared" si="5"/>
        <v>2.5000000000000001E-3</v>
      </c>
      <c r="K62" s="3">
        <f t="shared" si="6"/>
        <v>1.5615731130948101</v>
      </c>
      <c r="L62" s="19"/>
    </row>
    <row r="63" spans="1:12" x14ac:dyDescent="0.2">
      <c r="A63" s="19" t="str">
        <v>CTD-004</v>
      </c>
      <c r="B63" s="19">
        <v>10</v>
      </c>
      <c r="C63" s="19" t="str">
        <v>No problems noted</v>
      </c>
      <c r="D63" s="19">
        <v>1750</v>
      </c>
      <c r="E63" s="37" t="str">
        <v>OXY-009</v>
      </c>
      <c r="F63" s="19">
        <f>LOOKUP(E63,'++OxygenParameters++'!$A$2:$A$49,'++OxygenParameters++'!$B$2:$B$49)</f>
        <v>137.50723787565539</v>
      </c>
      <c r="G63" s="41">
        <v>0.27200000000000002</v>
      </c>
      <c r="H63" s="19">
        <v>2</v>
      </c>
      <c r="I63" s="19">
        <f t="shared" si="4"/>
        <v>1.252</v>
      </c>
      <c r="J63" s="19">
        <f t="shared" si="5"/>
        <v>2.5000000000000001E-3</v>
      </c>
      <c r="K63" s="3">
        <f t="shared" si="6"/>
        <v>1.0925720262609071</v>
      </c>
      <c r="L63" s="19"/>
    </row>
    <row r="64" spans="1:12" x14ac:dyDescent="0.2">
      <c r="A64" s="19" t="str">
        <v>CTD-004</v>
      </c>
      <c r="B64" s="19">
        <v>10</v>
      </c>
      <c r="C64" s="19" t="str">
        <v>No problems noted</v>
      </c>
      <c r="D64" s="19">
        <v>1750</v>
      </c>
      <c r="E64" s="37" t="str">
        <v>OXY-010</v>
      </c>
      <c r="F64" s="19">
        <f>LOOKUP(E64,'++OxygenParameters++'!$A$2:$A$49,'++OxygenParameters++'!$B$2:$B$49)</f>
        <v>142.78041215917332</v>
      </c>
      <c r="G64" s="41">
        <v>0.28399999999999997</v>
      </c>
      <c r="H64" s="19">
        <v>2</v>
      </c>
      <c r="I64" s="19">
        <f t="shared" si="4"/>
        <v>1.252</v>
      </c>
      <c r="J64" s="19">
        <f t="shared" si="5"/>
        <v>2.5000000000000001E-3</v>
      </c>
      <c r="K64" s="3">
        <f t="shared" si="6"/>
        <v>1.099012154645393</v>
      </c>
      <c r="L64" s="19" t="s">
        <v>426</v>
      </c>
    </row>
    <row r="65" spans="1:12" x14ac:dyDescent="0.2">
      <c r="A65" s="19" t="str">
        <v>CTD-004</v>
      </c>
      <c r="B65" s="19">
        <v>12</v>
      </c>
      <c r="C65" s="19" t="str">
        <v>No problems noted</v>
      </c>
      <c r="D65" s="19">
        <v>1500</v>
      </c>
      <c r="E65" s="37" t="str">
        <v>OXY-011</v>
      </c>
      <c r="F65" s="19">
        <f>LOOKUP(E65,'++OxygenParameters++'!$A$2:$A$49,'++OxygenParameters++'!$B$2:$B$49)</f>
        <v>140.6831791803244</v>
      </c>
      <c r="G65" s="41">
        <v>0.186</v>
      </c>
      <c r="H65" s="19">
        <v>2</v>
      </c>
      <c r="I65" s="19">
        <f t="shared" si="4"/>
        <v>1.252</v>
      </c>
      <c r="J65" s="19">
        <f t="shared" si="5"/>
        <v>2.5000000000000001E-3</v>
      </c>
      <c r="K65" s="3">
        <f t="shared" si="6"/>
        <v>0.72297393092230799</v>
      </c>
      <c r="L65" s="19"/>
    </row>
    <row r="66" spans="1:12" x14ac:dyDescent="0.2">
      <c r="A66" s="19" t="str">
        <v>CTD-004</v>
      </c>
      <c r="B66" s="19">
        <v>12</v>
      </c>
      <c r="C66" s="19" t="str">
        <v>No problems noted</v>
      </c>
      <c r="D66" s="19">
        <v>1500</v>
      </c>
      <c r="E66" s="37" t="str">
        <v>OXY-012</v>
      </c>
      <c r="F66" s="19">
        <f>LOOKUP(E66,'++OxygenParameters++'!$A$2:$A$49,'++OxygenParameters++'!$B$2:$B$49)</f>
        <v>139.51629736985885</v>
      </c>
      <c r="G66" s="41">
        <v>0.186</v>
      </c>
      <c r="H66" s="19">
        <v>2</v>
      </c>
      <c r="I66" s="19">
        <f t="shared" si="4"/>
        <v>1.252</v>
      </c>
      <c r="J66" s="19">
        <f t="shared" si="5"/>
        <v>2.5000000000000001E-3</v>
      </c>
      <c r="K66" s="3">
        <f t="shared" si="6"/>
        <v>0.72910865928228585</v>
      </c>
      <c r="L66" s="19"/>
    </row>
    <row r="67" spans="1:12" x14ac:dyDescent="0.2">
      <c r="A67" s="19" t="str">
        <v>CTD-004</v>
      </c>
      <c r="B67" s="19">
        <v>14</v>
      </c>
      <c r="C67" s="19" t="str">
        <v>No problems noted</v>
      </c>
      <c r="D67" s="19">
        <v>1250</v>
      </c>
      <c r="E67" s="37" t="str">
        <v>OXY-013</v>
      </c>
      <c r="F67" s="19">
        <f>LOOKUP(E67,'++OxygenParameters++'!$A$2:$A$49,'++OxygenParameters++'!$B$2:$B$49)</f>
        <v>140.66403085114609</v>
      </c>
      <c r="G67" s="41">
        <v>0.10199999999999999</v>
      </c>
      <c r="H67" s="19">
        <v>2</v>
      </c>
      <c r="I67" s="19">
        <f t="shared" si="4"/>
        <v>1.252</v>
      </c>
      <c r="J67" s="19">
        <f t="shared" si="5"/>
        <v>2.5000000000000001E-3</v>
      </c>
      <c r="K67" s="3">
        <f t="shared" si="6"/>
        <v>0.38646328391864082</v>
      </c>
      <c r="L67" s="19"/>
    </row>
    <row r="68" spans="1:12" x14ac:dyDescent="0.2">
      <c r="A68" s="19" t="str">
        <v>CTD-004</v>
      </c>
      <c r="B68" s="19">
        <v>14</v>
      </c>
      <c r="C68" s="19" t="str">
        <v>No problems noted</v>
      </c>
      <c r="D68" s="19">
        <v>1250</v>
      </c>
      <c r="E68" s="37" t="str">
        <v>OXY-014</v>
      </c>
      <c r="F68" s="19">
        <f>LOOKUP(E68,'++OxygenParameters++'!$A$2:$A$49,'++OxygenParameters++'!$B$2:$B$49)</f>
        <v>140.39470842817286</v>
      </c>
      <c r="G68" s="41">
        <v>0.1</v>
      </c>
      <c r="H68" s="19">
        <v>2</v>
      </c>
      <c r="I68" s="19">
        <f t="shared" si="4"/>
        <v>1.252</v>
      </c>
      <c r="J68" s="19">
        <f t="shared" si="5"/>
        <v>2.5000000000000001E-3</v>
      </c>
      <c r="K68" s="3">
        <f t="shared" si="6"/>
        <v>0.37918522714339259</v>
      </c>
      <c r="L68" s="19"/>
    </row>
    <row r="69" spans="1:12" x14ac:dyDescent="0.2">
      <c r="A69" s="19" t="str">
        <v>CTD-004</v>
      </c>
      <c r="B69" s="19">
        <v>17</v>
      </c>
      <c r="C69" s="19" t="str">
        <v>No problems noted</v>
      </c>
      <c r="D69" s="19">
        <v>750</v>
      </c>
      <c r="E69" s="37" t="str">
        <v>OXY-016</v>
      </c>
      <c r="F69" s="19">
        <f>LOOKUP(E69,'++OxygenParameters++'!$A$2:$A$49,'++OxygenParameters++'!$B$2:$B$49)</f>
        <v>140.26683839053629</v>
      </c>
      <c r="G69" s="41">
        <v>5.6000000000000001E-2</v>
      </c>
      <c r="H69" s="19">
        <v>2</v>
      </c>
      <c r="I69" s="19">
        <f t="shared" si="4"/>
        <v>1.252</v>
      </c>
      <c r="J69" s="19">
        <f t="shared" si="5"/>
        <v>2.5000000000000001E-3</v>
      </c>
      <c r="K69" s="3">
        <f t="shared" si="6"/>
        <v>0.20270961760136133</v>
      </c>
      <c r="L69" s="19"/>
    </row>
    <row r="70" spans="1:12" x14ac:dyDescent="0.2">
      <c r="A70" s="19" t="str">
        <v>CTD-004</v>
      </c>
      <c r="B70" s="19">
        <v>17</v>
      </c>
      <c r="C70" s="19" t="str">
        <v>No problems noted</v>
      </c>
      <c r="D70" s="19">
        <v>750</v>
      </c>
      <c r="E70" s="37" t="str">
        <v>OXY-017</v>
      </c>
      <c r="F70" s="19">
        <f>LOOKUP(E70,'++OxygenParameters++'!$A$2:$A$49,'++OxygenParameters++'!$B$2:$B$49)</f>
        <v>135.29738468755733</v>
      </c>
      <c r="G70" s="41">
        <v>5.3999999999999999E-2</v>
      </c>
      <c r="H70" s="19">
        <v>2</v>
      </c>
      <c r="I70" s="19">
        <f t="shared" si="4"/>
        <v>1.252</v>
      </c>
      <c r="J70" s="19">
        <f t="shared" si="5"/>
        <v>2.5000000000000001E-3</v>
      </c>
      <c r="K70" s="3">
        <f t="shared" si="6"/>
        <v>0.20192961945080115</v>
      </c>
      <c r="L70" s="19"/>
    </row>
    <row r="71" spans="1:12" x14ac:dyDescent="0.2">
      <c r="A71" s="19" t="str">
        <v>CTD-004</v>
      </c>
      <c r="B71" s="19">
        <v>19</v>
      </c>
      <c r="C71" s="19" t="str">
        <v>No problems noted</v>
      </c>
      <c r="D71" s="19">
        <v>500</v>
      </c>
      <c r="E71" s="37" t="str">
        <v>OXY-018</v>
      </c>
      <c r="F71" s="19">
        <f>LOOKUP(E71,'++OxygenParameters++'!$A$2:$A$49,'++OxygenParameters++'!$B$2:$B$49)</f>
        <v>138.6929640601829</v>
      </c>
      <c r="G71" s="41">
        <v>0.188</v>
      </c>
      <c r="H71" s="19">
        <v>2</v>
      </c>
      <c r="I71" s="19">
        <f t="shared" si="4"/>
        <v>1.252</v>
      </c>
      <c r="J71" s="19">
        <f t="shared" si="5"/>
        <v>2.5000000000000001E-3</v>
      </c>
      <c r="K71" s="3">
        <f t="shared" si="6"/>
        <v>0.7416303514606486</v>
      </c>
      <c r="L71" s="19"/>
    </row>
    <row r="72" spans="1:12" x14ac:dyDescent="0.2">
      <c r="A72" s="19" t="str">
        <v>CTD-004</v>
      </c>
      <c r="B72" s="19">
        <v>19</v>
      </c>
      <c r="C72" s="19" t="str">
        <v>No problems noted</v>
      </c>
      <c r="D72" s="19">
        <v>500</v>
      </c>
      <c r="E72" s="37" t="str">
        <v>OXY-019</v>
      </c>
      <c r="F72" s="19">
        <f>LOOKUP(E72,'++OxygenParameters++'!$A$2:$A$49,'++OxygenParameters++'!$B$2:$B$49)</f>
        <v>137.20899131147266</v>
      </c>
      <c r="G72" s="41">
        <v>0.188</v>
      </c>
      <c r="H72" s="19">
        <v>2</v>
      </c>
      <c r="I72" s="19">
        <f t="shared" si="4"/>
        <v>1.252</v>
      </c>
      <c r="J72" s="19">
        <f t="shared" si="5"/>
        <v>2.5000000000000001E-3</v>
      </c>
      <c r="K72" s="3">
        <f t="shared" si="6"/>
        <v>0.74977004114037349</v>
      </c>
      <c r="L72" s="19"/>
    </row>
    <row r="73" spans="1:12" x14ac:dyDescent="0.2">
      <c r="A73" s="19" t="str">
        <v>CTD-004</v>
      </c>
      <c r="B73" s="19">
        <v>21</v>
      </c>
      <c r="C73" s="19" t="str">
        <v>No problems noted</v>
      </c>
      <c r="D73" s="19">
        <v>300</v>
      </c>
      <c r="E73" s="37" t="str">
        <v>OXY-020</v>
      </c>
      <c r="F73" s="19">
        <f>LOOKUP(E73,'++OxygenParameters++'!$A$2:$A$49,'++OxygenParameters++'!$B$2:$B$49)</f>
        <v>151.10618035117901</v>
      </c>
      <c r="G73" s="41">
        <v>0.61799999999999999</v>
      </c>
      <c r="H73" s="19">
        <v>2</v>
      </c>
      <c r="I73" s="19">
        <f t="shared" si="4"/>
        <v>1.252</v>
      </c>
      <c r="J73" s="19">
        <f t="shared" si="5"/>
        <v>2.5000000000000001E-3</v>
      </c>
      <c r="K73" s="3">
        <f t="shared" si="6"/>
        <v>2.282340822135938</v>
      </c>
      <c r="L73" s="19"/>
    </row>
    <row r="74" spans="1:12" x14ac:dyDescent="0.2">
      <c r="A74" s="19" t="str">
        <v>CTD-004</v>
      </c>
      <c r="B74" s="19">
        <v>21</v>
      </c>
      <c r="C74" s="19" t="str">
        <v>No problems noted</v>
      </c>
      <c r="D74" s="19">
        <v>300</v>
      </c>
      <c r="E74" s="37" t="str">
        <v>OXY-021</v>
      </c>
      <c r="F74" s="19">
        <f>LOOKUP(E74,'++OxygenParameters++'!$A$2:$A$49,'++OxygenParameters++'!$B$2:$B$49)</f>
        <v>140.5859590960454</v>
      </c>
      <c r="G74" s="41">
        <v>0.61599999999999999</v>
      </c>
      <c r="H74" s="19">
        <v>2</v>
      </c>
      <c r="I74" s="19">
        <f t="shared" si="4"/>
        <v>1.252</v>
      </c>
      <c r="J74" s="19">
        <f t="shared" si="5"/>
        <v>2.5000000000000001E-3</v>
      </c>
      <c r="K74" s="3">
        <f t="shared" si="6"/>
        <v>2.4475769167916317</v>
      </c>
      <c r="L74" s="19"/>
    </row>
    <row r="75" spans="1:12" x14ac:dyDescent="0.2">
      <c r="A75" s="19" t="str">
        <v>CTD-004</v>
      </c>
      <c r="B75" s="19">
        <v>23</v>
      </c>
      <c r="C75" s="19" t="str">
        <v>No problems noted</v>
      </c>
      <c r="D75" s="19">
        <v>200</v>
      </c>
      <c r="E75" s="37" t="str">
        <v>OXY-023</v>
      </c>
      <c r="F75" s="19">
        <f>LOOKUP(E75,'++OxygenParameters++'!$A$2:$A$49,'++OxygenParameters++'!$B$2:$B$49)</f>
        <v>140.91807728306378</v>
      </c>
      <c r="G75" s="41">
        <v>0.89</v>
      </c>
      <c r="H75" s="19">
        <v>2</v>
      </c>
      <c r="I75" s="19">
        <f t="shared" si="4"/>
        <v>1.252</v>
      </c>
      <c r="J75" s="19">
        <f t="shared" si="5"/>
        <v>2.5000000000000001E-3</v>
      </c>
      <c r="K75" s="3">
        <f t="shared" si="6"/>
        <v>3.5377087635784963</v>
      </c>
      <c r="L75" s="19"/>
    </row>
    <row r="76" spans="1:12" x14ac:dyDescent="0.2">
      <c r="A76" s="19" t="str">
        <v>CTD-004</v>
      </c>
      <c r="B76" s="19">
        <v>23</v>
      </c>
      <c r="C76" s="19" t="str">
        <v>No problems noted</v>
      </c>
      <c r="D76" s="19">
        <v>200</v>
      </c>
      <c r="E76" s="37" t="str">
        <v>OXY-024</v>
      </c>
      <c r="F76" s="19">
        <f>LOOKUP(E76,'++OxygenParameters++'!$A$2:$A$49,'++OxygenParameters++'!$B$2:$B$49)</f>
        <v>138.00282365711595</v>
      </c>
      <c r="G76" s="41">
        <v>0.88</v>
      </c>
      <c r="H76" s="19">
        <v>2</v>
      </c>
      <c r="I76" s="19">
        <f t="shared" si="4"/>
        <v>1.252</v>
      </c>
      <c r="J76" s="19">
        <f t="shared" si="5"/>
        <v>2.5000000000000001E-3</v>
      </c>
      <c r="K76" s="3">
        <f t="shared" si="6"/>
        <v>3.5726836214962643</v>
      </c>
      <c r="L76" s="19"/>
    </row>
    <row r="77" spans="1:12" x14ac:dyDescent="0.2">
      <c r="A77" s="19" t="str">
        <v>J2-1706</v>
      </c>
      <c r="B77" s="19" t="str">
        <v>Aft</v>
      </c>
      <c r="C77" s="19" t="str">
        <v>No problems noted</v>
      </c>
      <c r="D77" s="19">
        <v>2607</v>
      </c>
      <c r="E77" s="37" t="str">
        <v>OXY-025</v>
      </c>
      <c r="F77" s="19">
        <f>LOOKUP(E77,'++OxygenParameters++'!$A$2:$A$49,'++OxygenParameters++'!$B$2:$B$49)</f>
        <v>139.82799928978994</v>
      </c>
      <c r="G77" s="41">
        <v>0.438</v>
      </c>
      <c r="H77" s="19">
        <v>2</v>
      </c>
      <c r="I77" s="19">
        <f t="shared" si="4"/>
        <v>1.252</v>
      </c>
      <c r="J77" s="19">
        <f t="shared" si="5"/>
        <v>2.5000000000000001E-3</v>
      </c>
      <c r="K77" s="3">
        <f t="shared" si="6"/>
        <v>1.7434166053705398</v>
      </c>
      <c r="L77" s="19"/>
    </row>
    <row r="78" spans="1:12" x14ac:dyDescent="0.2">
      <c r="A78" s="19" t="str">
        <v>J2-1706</v>
      </c>
      <c r="B78" s="19" t="str">
        <v>Aft</v>
      </c>
      <c r="C78" s="19" t="str">
        <v>No problems noted</v>
      </c>
      <c r="D78" s="19">
        <v>2607</v>
      </c>
      <c r="E78" s="37" t="str">
        <v>OXY-026</v>
      </c>
      <c r="F78" s="19">
        <f>LOOKUP(E78,'++OxygenParameters++'!$A$2:$A$49,'++OxygenParameters++'!$B$2:$B$49)</f>
        <v>141.12035178551869</v>
      </c>
      <c r="G78" s="41">
        <v>0.442</v>
      </c>
      <c r="H78" s="19">
        <v>2</v>
      </c>
      <c r="I78" s="19">
        <f t="shared" si="4"/>
        <v>1.252</v>
      </c>
      <c r="J78" s="19">
        <f t="shared" si="5"/>
        <v>2.5000000000000001E-3</v>
      </c>
      <c r="K78" s="3">
        <f t="shared" si="6"/>
        <v>1.7431977067410003</v>
      </c>
      <c r="L78" s="19"/>
    </row>
    <row r="79" spans="1:12" x14ac:dyDescent="0.2">
      <c r="A79" s="19" t="str">
        <v>J2-1713</v>
      </c>
      <c r="B79" s="19" t="str">
        <v>Aft</v>
      </c>
      <c r="C79" s="19" t="str">
        <v>No problems noted</v>
      </c>
      <c r="D79" s="19">
        <v>191.5</v>
      </c>
      <c r="E79" s="37" t="str">
        <v>OXY-027</v>
      </c>
      <c r="F79" s="19">
        <f>LOOKUP(E79,'++OxygenParameters++'!$A$2:$A$49,'++OxygenParameters++'!$B$2:$B$49)</f>
        <v>140.5453572704084</v>
      </c>
      <c r="G79" s="41">
        <v>0.75</v>
      </c>
      <c r="H79" s="19">
        <v>3</v>
      </c>
      <c r="I79" s="19">
        <f t="shared" si="4"/>
        <v>1.25</v>
      </c>
      <c r="J79" s="19">
        <f t="shared" si="5"/>
        <v>1.3333333333333333E-3</v>
      </c>
      <c r="K79" s="3">
        <f t="shared" si="6"/>
        <v>2.9924110930515426</v>
      </c>
      <c r="L79" s="19"/>
    </row>
    <row r="80" spans="1:12" x14ac:dyDescent="0.2">
      <c r="A80" s="19" t="str">
        <v>J2-1713</v>
      </c>
      <c r="B80" s="19" t="str">
        <v>Aft</v>
      </c>
      <c r="C80" s="19" t="str">
        <v>No problems noted</v>
      </c>
      <c r="D80" s="19">
        <v>191.5</v>
      </c>
      <c r="E80" s="37" t="str">
        <v>OXY-028</v>
      </c>
      <c r="F80" s="19">
        <f>LOOKUP(E80,'++OxygenParameters++'!$A$2:$A$49,'++OxygenParameters++'!$B$2:$B$49)</f>
        <v>138.93983555631596</v>
      </c>
      <c r="G80" s="41">
        <v>0.75800000000000001</v>
      </c>
      <c r="H80" s="19">
        <v>3</v>
      </c>
      <c r="I80" s="19">
        <f t="shared" si="4"/>
        <v>1.25</v>
      </c>
      <c r="J80" s="19">
        <f t="shared" si="5"/>
        <v>1.3333333333333333E-3</v>
      </c>
      <c r="K80" s="3">
        <f t="shared" si="6"/>
        <v>3.0599784210566368</v>
      </c>
      <c r="L80" s="19"/>
    </row>
    <row r="81" spans="1:12" x14ac:dyDescent="0.2">
      <c r="A81" s="19" t="str">
        <v>J2-1714</v>
      </c>
      <c r="B81" s="19" t="str">
        <v>Aft</v>
      </c>
      <c r="C81" s="19" t="str">
        <v>No problems noted</v>
      </c>
      <c r="D81" s="19">
        <v>600</v>
      </c>
      <c r="E81" s="37" t="str">
        <v>OXY-029</v>
      </c>
      <c r="F81" s="19">
        <f>LOOKUP(E81,'++OxygenParameters++'!$A$2:$A$49,'++OxygenParameters++'!$B$2:$B$49)</f>
        <v>141.42564496568471</v>
      </c>
      <c r="G81" s="41">
        <v>0.11799999999999999</v>
      </c>
      <c r="H81" s="19">
        <v>3</v>
      </c>
      <c r="I81" s="19">
        <f t="shared" si="4"/>
        <v>1.25</v>
      </c>
      <c r="J81" s="19">
        <f t="shared" si="5"/>
        <v>1.3333333333333333E-3</v>
      </c>
      <c r="K81" s="3">
        <f t="shared" si="6"/>
        <v>0.45307818308439862</v>
      </c>
      <c r="L81" s="19"/>
    </row>
    <row r="82" spans="1:12" x14ac:dyDescent="0.2">
      <c r="A82" s="19" t="str">
        <v>J2-1714</v>
      </c>
      <c r="B82" s="19" t="str">
        <v>Aft</v>
      </c>
      <c r="C82" s="19" t="str">
        <v>No problems noted</v>
      </c>
      <c r="D82" s="19">
        <v>600</v>
      </c>
      <c r="E82" s="37" t="str">
        <v>OXY-030</v>
      </c>
      <c r="F82" s="19">
        <f>LOOKUP(E82,'++OxygenParameters++'!$A$2:$A$49,'++OxygenParameters++'!$B$2:$B$49)</f>
        <v>140.71136301152507</v>
      </c>
      <c r="G82" s="41">
        <v>0.11799999999999999</v>
      </c>
      <c r="H82" s="19">
        <v>3</v>
      </c>
      <c r="I82" s="19">
        <f t="shared" ref="I82:I96" si="7">LOOKUP(H82,M:M,V:V)</f>
        <v>1.25</v>
      </c>
      <c r="J82" s="19">
        <f t="shared" ref="J82:J96" si="8">LOOKUP(H82,M:M,W:W)</f>
        <v>1.3333333333333333E-3</v>
      </c>
      <c r="K82" s="3">
        <f t="shared" ref="K82:K96" si="9">(((((G82-J82)*$D$4*$D$3*5598)/(I82-J82))-1000*0.0017)/(F82-2))</f>
        <v>0.45541126930728965</v>
      </c>
      <c r="L82" s="19"/>
    </row>
    <row r="83" spans="1:12" x14ac:dyDescent="0.2">
      <c r="A83" s="19" t="str">
        <v>J2-1723</v>
      </c>
      <c r="B83" s="19" t="str">
        <v>Aft</v>
      </c>
      <c r="C83" s="19" t="str">
        <v>No problems noted</v>
      </c>
      <c r="D83" s="19">
        <v>80</v>
      </c>
      <c r="E83" s="37" t="str">
        <v>OXY-027</v>
      </c>
      <c r="F83" s="19">
        <f>LOOKUP(E83,'++OxygenParameters++'!$A$2:$A$49,'++OxygenParameters++'!$B$2:$B$49)</f>
        <v>140.5453572704084</v>
      </c>
      <c r="G83" s="41">
        <v>0.218</v>
      </c>
      <c r="H83" s="19">
        <v>4</v>
      </c>
      <c r="I83" s="19">
        <f t="shared" si="7"/>
        <v>1.2490000000000001</v>
      </c>
      <c r="J83" s="19">
        <f t="shared" si="8"/>
        <v>2E-3</v>
      </c>
      <c r="K83" s="3">
        <f t="shared" si="9"/>
        <v>0.85577767566527929</v>
      </c>
      <c r="L83" s="19"/>
    </row>
    <row r="84" spans="1:12" x14ac:dyDescent="0.2">
      <c r="A84" s="19" t="str">
        <v>J2-1723</v>
      </c>
      <c r="B84" s="19" t="str">
        <v>Aft</v>
      </c>
      <c r="C84" s="19" t="str">
        <v>No problems noted</v>
      </c>
      <c r="D84" s="19">
        <v>80</v>
      </c>
      <c r="E84" s="37" t="str">
        <v>OXY-028</v>
      </c>
      <c r="F84" s="19">
        <f>LOOKUP(E84,'++OxygenParameters++'!$A$2:$A$49,'++OxygenParameters++'!$B$2:$B$49)</f>
        <v>138.93983555631596</v>
      </c>
      <c r="G84" s="41">
        <v>0.22600000000000001</v>
      </c>
      <c r="H84" s="19">
        <v>4</v>
      </c>
      <c r="I84" s="19">
        <f t="shared" si="7"/>
        <v>1.2490000000000001</v>
      </c>
      <c r="J84" s="19">
        <f t="shared" si="8"/>
        <v>2E-3</v>
      </c>
      <c r="K84" s="3">
        <f t="shared" si="9"/>
        <v>0.89833791915797678</v>
      </c>
      <c r="L84" s="19"/>
    </row>
    <row r="85" spans="1:12" x14ac:dyDescent="0.2">
      <c r="A85" s="19" t="str">
        <v>CTD-007</v>
      </c>
      <c r="B85" s="19">
        <v>3</v>
      </c>
      <c r="C85" s="19" t="str">
        <v>No problems noted</v>
      </c>
      <c r="D85" s="19">
        <v>200</v>
      </c>
      <c r="E85" s="37" t="str">
        <v>OXY-029</v>
      </c>
      <c r="F85" s="19">
        <f>LOOKUP(E85,'++OxygenParameters++'!$A$2:$A$49,'++OxygenParameters++'!$B$2:$B$49)</f>
        <v>141.42564496568471</v>
      </c>
      <c r="G85" s="41">
        <v>0.76600000000000001</v>
      </c>
      <c r="H85" s="19">
        <v>4</v>
      </c>
      <c r="I85" s="19">
        <f t="shared" si="7"/>
        <v>1.2490000000000001</v>
      </c>
      <c r="J85" s="19">
        <f t="shared" si="8"/>
        <v>2E-3</v>
      </c>
      <c r="K85" s="3">
        <f t="shared" si="9"/>
        <v>3.038740158422693</v>
      </c>
      <c r="L85" s="19"/>
    </row>
    <row r="86" spans="1:12" x14ac:dyDescent="0.2">
      <c r="A86" s="19" t="str">
        <v>CTD-007</v>
      </c>
      <c r="B86" s="19">
        <v>3</v>
      </c>
      <c r="C86" s="19" t="str">
        <v>No problems noted</v>
      </c>
      <c r="D86" s="19">
        <v>200</v>
      </c>
      <c r="E86" s="37" t="str">
        <v>OXY-030</v>
      </c>
      <c r="F86" s="19">
        <f>LOOKUP(E86,'++OxygenParameters++'!$A$2:$A$49,'++OxygenParameters++'!$B$2:$B$49)</f>
        <v>140.71136301152507</v>
      </c>
      <c r="G86" s="41">
        <v>0.76</v>
      </c>
      <c r="H86" s="19">
        <v>4</v>
      </c>
      <c r="I86" s="19">
        <f t="shared" si="7"/>
        <v>1.2490000000000001</v>
      </c>
      <c r="J86" s="19">
        <f t="shared" si="8"/>
        <v>2E-3</v>
      </c>
      <c r="K86" s="3">
        <f t="shared" si="9"/>
        <v>3.0303042953155797</v>
      </c>
      <c r="L86" s="19"/>
    </row>
    <row r="87" spans="1:12" x14ac:dyDescent="0.2">
      <c r="A87" s="19" t="str">
        <v>CTD-007</v>
      </c>
      <c r="B87" s="19">
        <v>7</v>
      </c>
      <c r="C87" s="19" t="str">
        <v>No problems noted</v>
      </c>
      <c r="D87" s="19">
        <v>160</v>
      </c>
      <c r="E87" s="37" t="str">
        <v>OXY-031</v>
      </c>
      <c r="F87" s="19">
        <f>LOOKUP(E87,'++OxygenParameters++'!$A$2:$A$49,'++OxygenParameters++'!$B$2:$B$49)</f>
        <v>140.18935856244096</v>
      </c>
      <c r="G87" s="41">
        <v>0.83399999999999996</v>
      </c>
      <c r="H87" s="19">
        <v>4</v>
      </c>
      <c r="I87" s="19">
        <f t="shared" si="7"/>
        <v>1.2490000000000001</v>
      </c>
      <c r="J87" s="19">
        <f t="shared" si="8"/>
        <v>2E-3</v>
      </c>
      <c r="K87" s="3">
        <f t="shared" si="9"/>
        <v>3.3399040827746083</v>
      </c>
      <c r="L87" s="19"/>
    </row>
    <row r="88" spans="1:12" x14ac:dyDescent="0.2">
      <c r="A88" s="19" t="str">
        <v>CTD-007</v>
      </c>
      <c r="B88" s="19">
        <v>7</v>
      </c>
      <c r="C88" s="19" t="str">
        <v>No problems noted</v>
      </c>
      <c r="D88" s="19">
        <v>160</v>
      </c>
      <c r="E88" s="37" t="str">
        <v>OXY-032</v>
      </c>
      <c r="F88" s="19">
        <f>LOOKUP(E88,'++OxygenParameters++'!$A$2:$A$49,'++OxygenParameters++'!$B$2:$B$49)</f>
        <v>140.15112756577398</v>
      </c>
      <c r="G88" s="41">
        <v>0.83799999999999997</v>
      </c>
      <c r="H88" s="19">
        <v>4</v>
      </c>
      <c r="I88" s="19">
        <f t="shared" si="7"/>
        <v>1.2490000000000001</v>
      </c>
      <c r="J88" s="19">
        <f t="shared" si="8"/>
        <v>2E-3</v>
      </c>
      <c r="K88" s="3">
        <f t="shared" si="9"/>
        <v>3.3569491800934186</v>
      </c>
      <c r="L88" s="19"/>
    </row>
    <row r="89" spans="1:12" x14ac:dyDescent="0.2">
      <c r="A89" s="19" t="str">
        <v>CTD-007</v>
      </c>
      <c r="B89" s="19">
        <v>11</v>
      </c>
      <c r="C89" s="19" t="str">
        <v>No problems noted</v>
      </c>
      <c r="D89" s="19">
        <v>120</v>
      </c>
      <c r="E89" s="37" t="str">
        <v>OXY-033</v>
      </c>
      <c r="F89" s="19">
        <f>LOOKUP(E89,'++OxygenParameters++'!$A$2:$A$49,'++OxygenParameters++'!$B$2:$B$49)</f>
        <v>140.44018454299524</v>
      </c>
      <c r="G89" s="41">
        <v>1.202</v>
      </c>
      <c r="H89" s="19">
        <v>4</v>
      </c>
      <c r="I89" s="19">
        <f t="shared" si="7"/>
        <v>1.2490000000000001</v>
      </c>
      <c r="J89" s="19">
        <f t="shared" si="8"/>
        <v>2E-3</v>
      </c>
      <c r="K89" s="3">
        <f t="shared" si="9"/>
        <v>4.8138729940410769</v>
      </c>
      <c r="L89" s="19"/>
    </row>
    <row r="90" spans="1:12" x14ac:dyDescent="0.2">
      <c r="A90" s="19" t="str">
        <v>CTD-007</v>
      </c>
      <c r="B90" s="19">
        <v>11</v>
      </c>
      <c r="C90" s="19" t="str">
        <v>No problems noted</v>
      </c>
      <c r="D90" s="19">
        <v>120</v>
      </c>
      <c r="E90" s="37" t="str">
        <v>OXY-034</v>
      </c>
      <c r="F90" s="19">
        <f>LOOKUP(E90,'++OxygenParameters++'!$A$2:$A$49,'++OxygenParameters++'!$B$2:$B$49)</f>
        <v>136.87371747081994</v>
      </c>
      <c r="G90" s="41">
        <v>1.1719999999999999</v>
      </c>
      <c r="H90" s="19">
        <v>4</v>
      </c>
      <c r="I90" s="19">
        <f t="shared" si="7"/>
        <v>1.2490000000000001</v>
      </c>
      <c r="J90" s="19">
        <f t="shared" si="8"/>
        <v>2E-3</v>
      </c>
      <c r="K90" s="3">
        <f t="shared" si="9"/>
        <v>4.8173220194706783</v>
      </c>
      <c r="L90" s="19"/>
    </row>
    <row r="91" spans="1:12" x14ac:dyDescent="0.2">
      <c r="A91" s="19" t="str">
        <v>CTD-007</v>
      </c>
      <c r="B91" s="19">
        <v>14</v>
      </c>
      <c r="C91" s="19" t="str">
        <v>No problems noted</v>
      </c>
      <c r="D91" s="19">
        <v>100</v>
      </c>
      <c r="E91" s="37" t="str">
        <v>OXY-035</v>
      </c>
      <c r="F91" s="19">
        <f>LOOKUP(E91,'++OxygenParameters++'!$A$2:$A$49,'++OxygenParameters++'!$B$2:$B$49)</f>
        <v>142.63345801702329</v>
      </c>
      <c r="G91" s="41">
        <v>1.464</v>
      </c>
      <c r="H91" s="19">
        <v>4</v>
      </c>
      <c r="I91" s="19">
        <f t="shared" si="7"/>
        <v>1.2490000000000001</v>
      </c>
      <c r="J91" s="19">
        <f t="shared" si="8"/>
        <v>2E-3</v>
      </c>
      <c r="K91" s="3">
        <f t="shared" si="9"/>
        <v>5.7760740849642378</v>
      </c>
      <c r="L91" s="19"/>
    </row>
    <row r="92" spans="1:12" x14ac:dyDescent="0.2">
      <c r="A92" s="19" t="str">
        <v>CTD-007</v>
      </c>
      <c r="B92" s="19">
        <v>14</v>
      </c>
      <c r="C92" s="19" t="str">
        <v>No problems noted</v>
      </c>
      <c r="D92" s="19">
        <v>100</v>
      </c>
      <c r="E92" s="37" t="str">
        <v>OXY-036</v>
      </c>
      <c r="F92" s="19">
        <f>LOOKUP(E92,'++OxygenParameters++'!$A$2:$A$49,'++OxygenParameters++'!$B$2:$B$49)</f>
        <v>143.19461954236044</v>
      </c>
      <c r="G92" s="41">
        <v>1.474</v>
      </c>
      <c r="H92" s="19">
        <v>4</v>
      </c>
      <c r="I92" s="19">
        <f t="shared" si="7"/>
        <v>1.2490000000000001</v>
      </c>
      <c r="J92" s="19">
        <f t="shared" si="8"/>
        <v>2E-3</v>
      </c>
      <c r="K92" s="3">
        <f t="shared" si="9"/>
        <v>5.7925511174749307</v>
      </c>
      <c r="L92" s="19"/>
    </row>
    <row r="93" spans="1:12" x14ac:dyDescent="0.2">
      <c r="A93" s="19" t="str">
        <v>CTD-007</v>
      </c>
      <c r="B93" s="19">
        <v>16</v>
      </c>
      <c r="C93" s="19" t="str">
        <v>No problems noted</v>
      </c>
      <c r="D93" s="19">
        <v>80</v>
      </c>
      <c r="E93" s="37" t="str">
        <v>OXY-037</v>
      </c>
      <c r="F93" s="19">
        <f>LOOKUP(E93,'++OxygenParameters++'!$A$2:$A$49,'++OxygenParameters++'!$B$2:$B$49)</f>
        <v>141.38213083960898</v>
      </c>
      <c r="G93" s="41">
        <v>1.6080000000000001</v>
      </c>
      <c r="H93" s="19">
        <v>4</v>
      </c>
      <c r="I93" s="19">
        <f t="shared" si="7"/>
        <v>1.2490000000000001</v>
      </c>
      <c r="J93" s="19">
        <f t="shared" si="8"/>
        <v>2E-3</v>
      </c>
      <c r="K93" s="3">
        <f t="shared" si="9"/>
        <v>6.4031542840841889</v>
      </c>
      <c r="L93" s="19"/>
    </row>
    <row r="94" spans="1:12" x14ac:dyDescent="0.2">
      <c r="A94" s="19" t="str">
        <v>CTD-007</v>
      </c>
      <c r="B94" s="19">
        <v>16</v>
      </c>
      <c r="C94" s="19" t="str">
        <v>No problems noted</v>
      </c>
      <c r="D94" s="19">
        <v>80</v>
      </c>
      <c r="E94" s="37" t="str">
        <v>OXY-038</v>
      </c>
      <c r="F94" s="19">
        <f>LOOKUP(E94,'++OxygenParameters++'!$A$2:$A$49,'++OxygenParameters++'!$B$2:$B$49)</f>
        <v>137.09025998620626</v>
      </c>
      <c r="G94" s="41">
        <v>1.5580000000000001</v>
      </c>
      <c r="H94" s="19">
        <v>4</v>
      </c>
      <c r="I94" s="19">
        <f t="shared" si="7"/>
        <v>1.2490000000000001</v>
      </c>
      <c r="J94" s="19">
        <f t="shared" si="8"/>
        <v>2E-3</v>
      </c>
      <c r="K94" s="3">
        <f t="shared" si="9"/>
        <v>6.4005087701818448</v>
      </c>
      <c r="L94" s="19"/>
    </row>
    <row r="95" spans="1:12" x14ac:dyDescent="0.2">
      <c r="A95" s="19" t="str">
        <v>CTD-007</v>
      </c>
      <c r="B95" s="19">
        <v>18</v>
      </c>
      <c r="C95" s="19" t="str">
        <v>No problems noted</v>
      </c>
      <c r="D95" s="19">
        <v>60</v>
      </c>
      <c r="E95" s="37" t="str">
        <v>OXY-039</v>
      </c>
      <c r="F95" s="19">
        <f>LOOKUP(E95,'++OxygenParameters++'!$A$2:$A$49,'++OxygenParameters++'!$B$2:$B$49)</f>
        <v>138.87787176426485</v>
      </c>
      <c r="G95" s="41">
        <v>1.6</v>
      </c>
      <c r="H95" s="19">
        <v>4</v>
      </c>
      <c r="I95" s="19">
        <f t="shared" si="7"/>
        <v>1.2490000000000001</v>
      </c>
      <c r="J95" s="19">
        <f t="shared" si="8"/>
        <v>2E-3</v>
      </c>
      <c r="K95" s="3">
        <f t="shared" si="9"/>
        <v>6.4877620732985086</v>
      </c>
      <c r="L95" s="19"/>
    </row>
    <row r="96" spans="1:12" x14ac:dyDescent="0.2">
      <c r="A96" s="19" t="str">
        <v>CTD-007</v>
      </c>
      <c r="B96" s="19">
        <v>18</v>
      </c>
      <c r="C96" s="19" t="str">
        <v>No problems noted</v>
      </c>
      <c r="D96" s="19">
        <v>60</v>
      </c>
      <c r="E96" s="37" t="str">
        <v>OXY-040</v>
      </c>
      <c r="F96" s="19">
        <f>LOOKUP(E96,'++OxygenParameters++'!$A$2:$A$49,'++OxygenParameters++'!$B$2:$B$49)</f>
        <v>142.28305589191112</v>
      </c>
      <c r="G96" s="41">
        <v>1.6419999999999999</v>
      </c>
      <c r="H96" s="19">
        <v>4</v>
      </c>
      <c r="I96" s="19">
        <f t="shared" si="7"/>
        <v>1.2490000000000001</v>
      </c>
      <c r="J96" s="19">
        <f t="shared" si="8"/>
        <v>2E-3</v>
      </c>
      <c r="K96" s="3">
        <f t="shared" si="9"/>
        <v>6.4969766349146321</v>
      </c>
      <c r="L96" s="19"/>
    </row>
    <row r="97" spans="1:12" x14ac:dyDescent="0.2">
      <c r="A97" s="19" t="str">
        <v>CTD-007</v>
      </c>
      <c r="B97" s="19">
        <v>21</v>
      </c>
      <c r="C97" s="19" t="str">
        <v>No problems noted</v>
      </c>
      <c r="D97" s="19">
        <v>20</v>
      </c>
      <c r="E97" s="37" t="str">
        <v>OXY-041</v>
      </c>
      <c r="F97" s="19">
        <f>LOOKUP(E97,'++OxygenParameters++'!$A$2:$A$49,'++OxygenParameters++'!$B$2:$B$49)</f>
        <v>138.88909957516373</v>
      </c>
      <c r="G97" s="41">
        <v>1.4079999999999999</v>
      </c>
      <c r="H97" s="19">
        <v>4</v>
      </c>
      <c r="I97" s="19">
        <f t="shared" ref="I97:I100" si="10">LOOKUP(H97,M:M,V:V)</f>
        <v>1.2490000000000001</v>
      </c>
      <c r="J97" s="19">
        <f t="shared" ref="J97:J100" si="11">LOOKUP(H97,M:M,W:W)</f>
        <v>2E-3</v>
      </c>
      <c r="K97" s="3">
        <f t="shared" ref="K97:K100" si="12">(((((G97-J97)*$D$4*$D$3*5598)/(I97-J97))-1000*0.0017)/(F97-2))</f>
        <v>5.7062959214751334</v>
      </c>
      <c r="L97" s="19"/>
    </row>
    <row r="98" spans="1:12" x14ac:dyDescent="0.2">
      <c r="A98" s="19" t="str">
        <v>CTD-007</v>
      </c>
      <c r="B98" s="19">
        <v>21</v>
      </c>
      <c r="C98" s="19" t="str">
        <v>No problems noted</v>
      </c>
      <c r="D98" s="19">
        <v>20</v>
      </c>
      <c r="E98" s="37" t="str">
        <v>OXY-042</v>
      </c>
      <c r="F98" s="19">
        <f>LOOKUP(E98,'++OxygenParameters++'!$A$2:$A$49,'++OxygenParameters++'!$B$2:$B$49)</f>
        <v>140.65264344106296</v>
      </c>
      <c r="G98" s="41">
        <v>1.4259999999999999</v>
      </c>
      <c r="H98" s="19">
        <v>4</v>
      </c>
      <c r="I98" s="19">
        <f t="shared" si="10"/>
        <v>1.2490000000000001</v>
      </c>
      <c r="J98" s="19">
        <f t="shared" si="11"/>
        <v>2E-3</v>
      </c>
      <c r="K98" s="3">
        <f t="shared" si="12"/>
        <v>5.7059980462714996</v>
      </c>
      <c r="L98" s="19"/>
    </row>
    <row r="99" spans="1:12" x14ac:dyDescent="0.2">
      <c r="A99" s="19" t="str">
        <v>CTD-007</v>
      </c>
      <c r="B99" s="19">
        <v>23</v>
      </c>
      <c r="C99" s="19" t="str">
        <v>No problems noted</v>
      </c>
      <c r="D99" s="19">
        <v>10</v>
      </c>
      <c r="E99" s="37" t="str">
        <v>OXY-043</v>
      </c>
      <c r="F99" s="19">
        <f>LOOKUP(E99,'++OxygenParameters++'!$A$2:$A$49,'++OxygenParameters++'!$B$2:$B$49)</f>
        <v>138.23959584504792</v>
      </c>
      <c r="G99" s="41">
        <v>1.3740000000000001</v>
      </c>
      <c r="H99" s="19">
        <v>4</v>
      </c>
      <c r="I99" s="19">
        <f t="shared" si="10"/>
        <v>1.2490000000000001</v>
      </c>
      <c r="J99" s="19">
        <f t="shared" si="11"/>
        <v>2E-3</v>
      </c>
      <c r="K99" s="3">
        <f t="shared" si="12"/>
        <v>5.5945502310011452</v>
      </c>
      <c r="L99" s="19"/>
    </row>
    <row r="100" spans="1:12" x14ac:dyDescent="0.2">
      <c r="A100" s="19" t="str">
        <v>CTD-007</v>
      </c>
      <c r="B100" s="19">
        <v>23</v>
      </c>
      <c r="C100" s="19" t="str">
        <v>No problems noted</v>
      </c>
      <c r="D100" s="19">
        <v>10</v>
      </c>
      <c r="E100" s="37" t="str">
        <v>OXY-044</v>
      </c>
      <c r="F100" s="19">
        <f>LOOKUP(E100,'++OxygenParameters++'!$A$2:$A$49,'++OxygenParameters++'!$B$2:$B$49)</f>
        <v>141.35374581814415</v>
      </c>
      <c r="G100" s="41">
        <v>1.3959999999999999</v>
      </c>
      <c r="H100" s="19">
        <v>4</v>
      </c>
      <c r="I100" s="19">
        <f t="shared" si="10"/>
        <v>1.2490000000000001</v>
      </c>
      <c r="J100" s="19">
        <f t="shared" si="11"/>
        <v>2E-3</v>
      </c>
      <c r="K100" s="3">
        <f t="shared" si="12"/>
        <v>5.5574277634000238</v>
      </c>
      <c r="L100" s="19"/>
    </row>
    <row r="101" spans="1:12" x14ac:dyDescent="0.2">
      <c r="A101" s="19" t="str">
        <v>CTD-008</v>
      </c>
      <c r="B101" s="19">
        <v>3</v>
      </c>
      <c r="C101" s="19" t="str">
        <v>No problems noted</v>
      </c>
      <c r="D101" s="19">
        <v>200</v>
      </c>
      <c r="E101" s="37" t="str">
        <v>OXY-001</v>
      </c>
      <c r="F101" s="19">
        <f>LOOKUP(E101,'++OxygenParameters++'!$A$2:$A$49,'++OxygenParameters++'!$B$2:$B$49)</f>
        <v>140.80133251291429</v>
      </c>
      <c r="G101" s="41">
        <v>0.45200000000000001</v>
      </c>
      <c r="H101" s="19">
        <v>5</v>
      </c>
      <c r="I101" s="19">
        <f t="shared" ref="I101:I136" si="13">LOOKUP(H101,M:M,V:V)</f>
        <v>1.2610000000000001</v>
      </c>
      <c r="J101" s="19">
        <f t="shared" ref="J101:J136" si="14">LOOKUP(H101,M:M,W:W)</f>
        <v>1E-3</v>
      </c>
      <c r="K101" s="3">
        <f t="shared" ref="K101:K136" si="15">(((((G101-J101)*$D$4*$D$3*5598)/(I101-J101))-1000*0.0017)/(F101-2))</f>
        <v>1.7781964936099803</v>
      </c>
      <c r="L101" s="19"/>
    </row>
    <row r="102" spans="1:12" x14ac:dyDescent="0.2">
      <c r="A102" s="19" t="str">
        <v>CTD-008</v>
      </c>
      <c r="B102" s="19">
        <v>3</v>
      </c>
      <c r="C102" s="19" t="str">
        <v>No problems noted</v>
      </c>
      <c r="D102" s="19">
        <v>200</v>
      </c>
      <c r="E102" s="37" t="str">
        <v>OXY-009</v>
      </c>
      <c r="F102" s="19">
        <f>LOOKUP(E102,'++OxygenParameters++'!$A$2:$A$49,'++OxygenParameters++'!$B$2:$B$49)</f>
        <v>137.50723787565539</v>
      </c>
      <c r="G102" s="41">
        <v>0.438</v>
      </c>
      <c r="H102" s="19">
        <v>5</v>
      </c>
      <c r="I102" s="19">
        <f t="shared" si="13"/>
        <v>1.2610000000000001</v>
      </c>
      <c r="J102" s="19">
        <f t="shared" si="14"/>
        <v>1E-3</v>
      </c>
      <c r="K102" s="3">
        <f t="shared" si="15"/>
        <v>1.764493023186424</v>
      </c>
      <c r="L102" s="19"/>
    </row>
    <row r="103" spans="1:12" x14ac:dyDescent="0.2">
      <c r="A103" s="19" t="str">
        <v>CTD-008</v>
      </c>
      <c r="B103" s="19">
        <v>7</v>
      </c>
      <c r="C103" s="19" t="str">
        <v>No problems noted</v>
      </c>
      <c r="D103" s="19">
        <v>160</v>
      </c>
      <c r="E103" s="37" t="str">
        <v>OXY-002</v>
      </c>
      <c r="F103" s="19">
        <f>LOOKUP(E103,'++OxygenParameters++'!$A$2:$A$49,'++OxygenParameters++'!$B$2:$B$49)</f>
        <v>141.39978411671305</v>
      </c>
      <c r="G103" s="41">
        <v>0.58801000000000003</v>
      </c>
      <c r="H103" s="19">
        <v>5</v>
      </c>
      <c r="I103" s="19">
        <f t="shared" si="13"/>
        <v>1.2610000000000001</v>
      </c>
      <c r="J103" s="19">
        <f t="shared" si="14"/>
        <v>1E-3</v>
      </c>
      <c r="K103" s="3">
        <f t="shared" si="15"/>
        <v>2.3081964677209288</v>
      </c>
      <c r="L103" s="19"/>
    </row>
    <row r="104" spans="1:12" x14ac:dyDescent="0.2">
      <c r="A104" s="19" t="str">
        <v>CTD-008</v>
      </c>
      <c r="B104" s="19">
        <v>7</v>
      </c>
      <c r="C104" s="19" t="str">
        <v>No problems noted</v>
      </c>
      <c r="D104" s="19">
        <v>160</v>
      </c>
      <c r="E104" s="37" t="str">
        <v>OXY-010</v>
      </c>
      <c r="F104" s="19">
        <f>LOOKUP(E104,'++OxygenParameters++'!$A$2:$A$49,'++OxygenParameters++'!$B$2:$B$49)</f>
        <v>142.78041215917332</v>
      </c>
      <c r="G104" s="41">
        <v>0.59199999999999997</v>
      </c>
      <c r="H104" s="19">
        <v>5</v>
      </c>
      <c r="I104" s="19">
        <f t="shared" si="13"/>
        <v>1.2610000000000001</v>
      </c>
      <c r="J104" s="19">
        <f t="shared" si="14"/>
        <v>1E-3</v>
      </c>
      <c r="K104" s="3">
        <f t="shared" si="15"/>
        <v>2.3011774679034964</v>
      </c>
      <c r="L104" s="19"/>
    </row>
    <row r="105" spans="1:12" x14ac:dyDescent="0.2">
      <c r="A105" s="19" t="str">
        <v>CTD-008</v>
      </c>
      <c r="B105" s="19">
        <v>11</v>
      </c>
      <c r="C105" s="19" t="str">
        <v>No problems noted</v>
      </c>
      <c r="D105" s="19">
        <v>120</v>
      </c>
      <c r="E105" s="37" t="str">
        <v>OXY-003</v>
      </c>
      <c r="F105" s="19">
        <f>LOOKUP(E105,'++OxygenParameters++'!$A$2:$A$49,'++OxygenParameters++'!$B$2:$B$49)</f>
        <v>140.78129532314443</v>
      </c>
      <c r="G105" s="41">
        <v>0.94</v>
      </c>
      <c r="H105" s="19">
        <v>5</v>
      </c>
      <c r="I105" s="19">
        <f t="shared" si="13"/>
        <v>1.2610000000000001</v>
      </c>
      <c r="J105" s="19">
        <f t="shared" si="14"/>
        <v>1E-3</v>
      </c>
      <c r="K105" s="3">
        <f t="shared" si="15"/>
        <v>3.7160650394093806</v>
      </c>
      <c r="L105" s="19"/>
    </row>
    <row r="106" spans="1:12" x14ac:dyDescent="0.2">
      <c r="A106" s="19" t="str">
        <v>CTD-008</v>
      </c>
      <c r="B106" s="19">
        <v>11</v>
      </c>
      <c r="C106" s="19" t="str">
        <v>No problems noted</v>
      </c>
      <c r="D106" s="19">
        <v>120</v>
      </c>
      <c r="E106" s="37" t="str">
        <v>OXY-011</v>
      </c>
      <c r="F106" s="19">
        <f>LOOKUP(E106,'++OxygenParameters++'!$A$2:$A$49,'++OxygenParameters++'!$B$2:$B$49)</f>
        <v>140.6831791803244</v>
      </c>
      <c r="G106" s="41">
        <v>0.93200000000000005</v>
      </c>
      <c r="H106" s="19">
        <v>5</v>
      </c>
      <c r="I106" s="19">
        <f t="shared" si="13"/>
        <v>1.2610000000000001</v>
      </c>
      <c r="J106" s="19">
        <f t="shared" si="14"/>
        <v>1E-3</v>
      </c>
      <c r="K106" s="3">
        <f t="shared" si="15"/>
        <v>3.6869074956463215</v>
      </c>
      <c r="L106" s="19"/>
    </row>
    <row r="107" spans="1:12" x14ac:dyDescent="0.2">
      <c r="A107" s="19" t="str">
        <v>CTD-008</v>
      </c>
      <c r="B107" s="19">
        <v>14</v>
      </c>
      <c r="C107" s="19" t="str">
        <v>No problems noted</v>
      </c>
      <c r="D107" s="19">
        <v>100</v>
      </c>
      <c r="E107" s="37" t="str">
        <v>OXY-004</v>
      </c>
      <c r="F107" s="19">
        <f>LOOKUP(E107,'++OxygenParameters++'!$A$2:$A$49,'++OxygenParameters++'!$B$2:$B$49)</f>
        <v>141.24810732808774</v>
      </c>
      <c r="G107" s="41">
        <v>0.93400000000000005</v>
      </c>
      <c r="H107" s="19">
        <v>5</v>
      </c>
      <c r="I107" s="19">
        <f t="shared" si="13"/>
        <v>1.2610000000000001</v>
      </c>
      <c r="J107" s="19">
        <f t="shared" si="14"/>
        <v>1E-3</v>
      </c>
      <c r="K107" s="3">
        <f t="shared" si="15"/>
        <v>3.6798641603167574</v>
      </c>
      <c r="L107" s="19"/>
    </row>
    <row r="108" spans="1:12" x14ac:dyDescent="0.2">
      <c r="A108" s="19" t="str">
        <v>CTD-008</v>
      </c>
      <c r="B108" s="19">
        <v>14</v>
      </c>
      <c r="C108" s="19" t="str">
        <v>No problems noted</v>
      </c>
      <c r="D108" s="19">
        <v>100</v>
      </c>
      <c r="E108" s="37" t="str">
        <v>OXY-012</v>
      </c>
      <c r="F108" s="19">
        <f>LOOKUP(E108,'++OxygenParameters++'!$A$2:$A$49,'++OxygenParameters++'!$B$2:$B$49)</f>
        <v>139.51629736985885</v>
      </c>
      <c r="G108" s="41">
        <v>0.92800000000000005</v>
      </c>
      <c r="H108" s="19">
        <v>5</v>
      </c>
      <c r="I108" s="19">
        <f t="shared" si="13"/>
        <v>1.2610000000000001</v>
      </c>
      <c r="J108" s="19">
        <f t="shared" si="14"/>
        <v>1E-3</v>
      </c>
      <c r="K108" s="3">
        <f t="shared" si="15"/>
        <v>3.7021642464207636</v>
      </c>
      <c r="L108" s="19"/>
    </row>
    <row r="109" spans="1:12" x14ac:dyDescent="0.2">
      <c r="A109" s="19" t="str">
        <v>CTD-008</v>
      </c>
      <c r="B109" s="19">
        <v>16</v>
      </c>
      <c r="C109" s="19" t="str">
        <v>No problems noted</v>
      </c>
      <c r="D109" s="19">
        <v>80</v>
      </c>
      <c r="E109" s="37" t="str">
        <v>OXY-005</v>
      </c>
      <c r="F109" s="19">
        <f>LOOKUP(E109,'++OxygenParameters++'!$A$2:$A$49,'++OxygenParameters++'!$B$2:$B$49)</f>
        <v>139.10877400564874</v>
      </c>
      <c r="G109" s="41">
        <v>0.99199999999999999</v>
      </c>
      <c r="H109" s="19">
        <v>5</v>
      </c>
      <c r="I109" s="19">
        <f t="shared" si="13"/>
        <v>1.2610000000000001</v>
      </c>
      <c r="J109" s="19">
        <f t="shared" si="14"/>
        <v>1E-3</v>
      </c>
      <c r="K109" s="3">
        <f t="shared" si="15"/>
        <v>3.9703808749301133</v>
      </c>
      <c r="L109" s="19"/>
    </row>
    <row r="110" spans="1:12" x14ac:dyDescent="0.2">
      <c r="A110" s="19" t="str">
        <v>CTD-008</v>
      </c>
      <c r="B110" s="19">
        <v>16</v>
      </c>
      <c r="C110" s="19" t="str">
        <v>No problems noted</v>
      </c>
      <c r="D110" s="19">
        <v>80</v>
      </c>
      <c r="E110" s="37" t="str">
        <v>OXY-013</v>
      </c>
      <c r="F110" s="19">
        <f>LOOKUP(E110,'++OxygenParameters++'!$A$2:$A$49,'++OxygenParameters++'!$B$2:$B$49)</f>
        <v>140.66403085114609</v>
      </c>
      <c r="G110" s="41">
        <v>1</v>
      </c>
      <c r="H110" s="19">
        <v>5</v>
      </c>
      <c r="I110" s="19">
        <f t="shared" si="13"/>
        <v>1.2610000000000001</v>
      </c>
      <c r="J110" s="19">
        <f t="shared" si="14"/>
        <v>1E-3</v>
      </c>
      <c r="K110" s="3">
        <f t="shared" si="15"/>
        <v>3.9576400423592086</v>
      </c>
      <c r="L110" s="19"/>
    </row>
    <row r="111" spans="1:12" x14ac:dyDescent="0.2">
      <c r="A111" s="19" t="str">
        <v>CTD-008</v>
      </c>
      <c r="B111" s="19">
        <v>18</v>
      </c>
      <c r="C111" s="19" t="str">
        <v>No problems noted</v>
      </c>
      <c r="D111" s="19">
        <v>60</v>
      </c>
      <c r="E111" s="37" t="str">
        <v>OXY-006</v>
      </c>
      <c r="F111" s="19">
        <f>LOOKUP(E111,'++OxygenParameters++'!$A$2:$A$49,'++OxygenParameters++'!$B$2:$B$49)</f>
        <v>139.33978823851609</v>
      </c>
      <c r="G111" s="41">
        <v>1.28</v>
      </c>
      <c r="H111" s="19">
        <v>5</v>
      </c>
      <c r="I111" s="19">
        <f t="shared" si="13"/>
        <v>1.2610000000000001</v>
      </c>
      <c r="J111" s="19">
        <f t="shared" si="14"/>
        <v>1E-3</v>
      </c>
      <c r="K111" s="3">
        <f t="shared" si="15"/>
        <v>5.1192132239960486</v>
      </c>
      <c r="L111" s="19"/>
    </row>
    <row r="112" spans="1:12" x14ac:dyDescent="0.2">
      <c r="A112" s="19" t="str">
        <v>CTD-008</v>
      </c>
      <c r="B112" s="19">
        <v>18</v>
      </c>
      <c r="C112" s="19" t="str">
        <v>No problems noted</v>
      </c>
      <c r="D112" s="19">
        <v>60</v>
      </c>
      <c r="E112" s="37" t="str">
        <v>OXY-014</v>
      </c>
      <c r="F112" s="19">
        <f>LOOKUP(E112,'++OxygenParameters++'!$A$2:$A$49,'++OxygenParameters++'!$B$2:$B$49)</f>
        <v>140.39470842817286</v>
      </c>
      <c r="G112" s="41">
        <v>1.292</v>
      </c>
      <c r="H112" s="19">
        <v>5</v>
      </c>
      <c r="I112" s="19">
        <f t="shared" si="13"/>
        <v>1.2610000000000001</v>
      </c>
      <c r="J112" s="19">
        <f t="shared" si="14"/>
        <v>1E-3</v>
      </c>
      <c r="K112" s="3">
        <f t="shared" si="15"/>
        <v>5.1279710651017023</v>
      </c>
      <c r="L112" s="19"/>
    </row>
    <row r="113" spans="1:12" x14ac:dyDescent="0.2">
      <c r="A113" s="19" t="str">
        <v>CTD-008</v>
      </c>
      <c r="B113" s="19">
        <v>21</v>
      </c>
      <c r="C113" s="19" t="str">
        <v>No problems noted</v>
      </c>
      <c r="D113" s="19">
        <v>20</v>
      </c>
      <c r="E113" s="37" t="str">
        <v>OXY-007</v>
      </c>
      <c r="F113" s="19">
        <f>LOOKUP(E113,'++OxygenParameters++'!$A$2:$A$49,'++OxygenParameters++'!$B$2:$B$49)</f>
        <v>140.81194228659652</v>
      </c>
      <c r="G113" s="41">
        <v>1.46</v>
      </c>
      <c r="H113" s="19">
        <v>5</v>
      </c>
      <c r="I113" s="19">
        <f t="shared" si="13"/>
        <v>1.2610000000000001</v>
      </c>
      <c r="J113" s="19">
        <f t="shared" si="14"/>
        <v>1E-3</v>
      </c>
      <c r="K113" s="3">
        <f t="shared" si="15"/>
        <v>5.7794570891205082</v>
      </c>
      <c r="L113" s="19"/>
    </row>
    <row r="114" spans="1:12" x14ac:dyDescent="0.2">
      <c r="A114" s="19" t="str">
        <v>CTD-008</v>
      </c>
      <c r="B114" s="19">
        <v>21</v>
      </c>
      <c r="C114" s="19" t="str">
        <v>No problems noted</v>
      </c>
      <c r="D114" s="19">
        <v>20</v>
      </c>
      <c r="E114" s="37" t="str">
        <v>OXY-016</v>
      </c>
      <c r="F114" s="19">
        <f>LOOKUP(E114,'++OxygenParameters++'!$A$2:$A$49,'++OxygenParameters++'!$B$2:$B$49)</f>
        <v>140.26683839053629</v>
      </c>
      <c r="G114" s="41">
        <v>1.454</v>
      </c>
      <c r="H114" s="19">
        <v>5</v>
      </c>
      <c r="I114" s="19">
        <f t="shared" si="13"/>
        <v>1.2610000000000001</v>
      </c>
      <c r="J114" s="19">
        <f t="shared" si="14"/>
        <v>1E-3</v>
      </c>
      <c r="K114" s="3">
        <f t="shared" si="15"/>
        <v>5.778330314608735</v>
      </c>
      <c r="L114" s="19"/>
    </row>
    <row r="115" spans="1:12" x14ac:dyDescent="0.2">
      <c r="A115" s="19" t="str">
        <v>CTD-008</v>
      </c>
      <c r="B115" s="19">
        <v>23</v>
      </c>
      <c r="C115" s="19" t="str">
        <v>No problems noted</v>
      </c>
      <c r="D115" s="19">
        <v>10</v>
      </c>
      <c r="E115" s="37" t="str">
        <v>OXY-008</v>
      </c>
      <c r="F115" s="19">
        <f>LOOKUP(E115,'++OxygenParameters++'!$A$2:$A$49,'++OxygenParameters++'!$B$2:$B$49)</f>
        <v>140.22113727698931</v>
      </c>
      <c r="G115" s="41">
        <v>1.44</v>
      </c>
      <c r="H115" s="19">
        <v>5</v>
      </c>
      <c r="I115" s="19">
        <f t="shared" si="13"/>
        <v>1.2610000000000001</v>
      </c>
      <c r="J115" s="19">
        <f t="shared" si="14"/>
        <v>1E-3</v>
      </c>
      <c r="K115" s="3">
        <f t="shared" si="15"/>
        <v>5.7244283501411015</v>
      </c>
      <c r="L115" s="19"/>
    </row>
    <row r="116" spans="1:12" x14ac:dyDescent="0.2">
      <c r="A116" s="19" t="str">
        <v>CTD-008</v>
      </c>
      <c r="B116" s="19">
        <v>23</v>
      </c>
      <c r="C116" s="19" t="str">
        <v>No problems noted</v>
      </c>
      <c r="D116" s="19">
        <v>10</v>
      </c>
      <c r="E116" s="37" t="str">
        <v>OXY-017</v>
      </c>
      <c r="F116" s="19">
        <f>LOOKUP(E116,'++OxygenParameters++'!$A$2:$A$49,'++OxygenParameters++'!$B$2:$B$49)</f>
        <v>135.29738468755733</v>
      </c>
      <c r="G116" s="41">
        <v>1.39</v>
      </c>
      <c r="H116" s="19">
        <v>5</v>
      </c>
      <c r="I116" s="19">
        <f t="shared" si="13"/>
        <v>1.2610000000000001</v>
      </c>
      <c r="J116" s="19">
        <f t="shared" si="14"/>
        <v>1E-3</v>
      </c>
      <c r="K116" s="3">
        <f t="shared" si="15"/>
        <v>5.7291846414908942</v>
      </c>
      <c r="L116" s="19"/>
    </row>
    <row r="117" spans="1:12" x14ac:dyDescent="0.2">
      <c r="A117" s="19" t="str">
        <v>CTD-010</v>
      </c>
      <c r="B117" s="19">
        <v>3</v>
      </c>
      <c r="C117" s="19" t="str">
        <v>No problems noted</v>
      </c>
      <c r="D117" s="19">
        <v>200</v>
      </c>
      <c r="E117" s="37" t="str">
        <v>OXY-034</v>
      </c>
      <c r="F117" s="19">
        <f>LOOKUP(E117,'++OxygenParameters++'!$A$2:$A$49,'++OxygenParameters++'!$B$2:$B$49)</f>
        <v>136.87371747081994</v>
      </c>
      <c r="G117" s="41">
        <v>0.51400000000000001</v>
      </c>
      <c r="H117" s="19">
        <v>5</v>
      </c>
      <c r="I117" s="19">
        <f t="shared" si="13"/>
        <v>1.2610000000000001</v>
      </c>
      <c r="J117" s="19">
        <f t="shared" si="14"/>
        <v>1E-3</v>
      </c>
      <c r="K117" s="3">
        <f t="shared" si="15"/>
        <v>2.0832829109893982</v>
      </c>
      <c r="L117" s="19"/>
    </row>
    <row r="118" spans="1:12" x14ac:dyDescent="0.2">
      <c r="A118" s="19" t="str">
        <v>CTD-010</v>
      </c>
      <c r="B118" s="19">
        <v>3</v>
      </c>
      <c r="C118" s="19" t="str">
        <v>No problems noted</v>
      </c>
      <c r="D118" s="19">
        <v>200</v>
      </c>
      <c r="E118" s="37" t="str">
        <v>OXY-038</v>
      </c>
      <c r="F118" s="19">
        <f>LOOKUP(E118,'++OxygenParameters++'!$A$2:$A$49,'++OxygenParameters++'!$B$2:$B$49)</f>
        <v>137.09025998620626</v>
      </c>
      <c r="G118" s="41">
        <v>0.51400000000000001</v>
      </c>
      <c r="H118" s="19">
        <v>5</v>
      </c>
      <c r="I118" s="19">
        <f t="shared" si="13"/>
        <v>1.2610000000000001</v>
      </c>
      <c r="J118" s="19">
        <f t="shared" si="14"/>
        <v>1E-3</v>
      </c>
      <c r="K118" s="3">
        <f t="shared" si="15"/>
        <v>2.0799435190757762</v>
      </c>
      <c r="L118" s="19"/>
    </row>
    <row r="119" spans="1:12" x14ac:dyDescent="0.2">
      <c r="A119" s="19" t="str">
        <v>CTD-010</v>
      </c>
      <c r="B119" s="19">
        <v>7</v>
      </c>
      <c r="C119" s="19" t="str">
        <v>No problems noted</v>
      </c>
      <c r="D119" s="19">
        <v>160</v>
      </c>
      <c r="E119" s="37" t="str">
        <v>OXY-036</v>
      </c>
      <c r="F119" s="19">
        <f>LOOKUP(E119,'++OxygenParameters++'!$A$2:$A$49,'++OxygenParameters++'!$B$2:$B$49)</f>
        <v>143.19461954236044</v>
      </c>
      <c r="G119" s="41">
        <v>0.57999999999999996</v>
      </c>
      <c r="H119" s="19">
        <v>5</v>
      </c>
      <c r="I119" s="19">
        <f t="shared" si="13"/>
        <v>1.2610000000000001</v>
      </c>
      <c r="J119" s="19">
        <f t="shared" si="14"/>
        <v>1E-3</v>
      </c>
      <c r="K119" s="3">
        <f t="shared" si="15"/>
        <v>2.2475949378242377</v>
      </c>
      <c r="L119" s="19"/>
    </row>
    <row r="120" spans="1:12" x14ac:dyDescent="0.2">
      <c r="A120" s="19" t="str">
        <v>CTD-010</v>
      </c>
      <c r="B120" s="19">
        <v>7</v>
      </c>
      <c r="C120" s="19" t="str">
        <v>No problems noted</v>
      </c>
      <c r="D120" s="19">
        <v>160</v>
      </c>
      <c r="E120" s="37" t="str">
        <v>OXY-046</v>
      </c>
      <c r="F120" s="19">
        <f>LOOKUP(E120,'++OxygenParameters++'!$A$2:$A$49,'++OxygenParameters++'!$B$2:$B$49)</f>
        <v>135.55327879523372</v>
      </c>
      <c r="G120" s="41">
        <v>0.55400000000000005</v>
      </c>
      <c r="H120" s="19">
        <v>5</v>
      </c>
      <c r="I120" s="19">
        <f t="shared" si="13"/>
        <v>1.2610000000000001</v>
      </c>
      <c r="J120" s="19">
        <f t="shared" si="14"/>
        <v>1E-3</v>
      </c>
      <c r="K120" s="3">
        <f t="shared" si="15"/>
        <v>2.2689180501857833</v>
      </c>
      <c r="L120" s="19" t="s">
        <v>536</v>
      </c>
    </row>
    <row r="121" spans="1:12" x14ac:dyDescent="0.2">
      <c r="A121" s="19" t="str">
        <v>CTD-010</v>
      </c>
      <c r="B121" s="19">
        <v>11</v>
      </c>
      <c r="C121" s="19" t="str">
        <v>No problems noted</v>
      </c>
      <c r="D121" s="19">
        <v>120</v>
      </c>
      <c r="E121" s="37" t="str">
        <v>OXY-040</v>
      </c>
      <c r="F121" s="19">
        <f>LOOKUP(E121,'++OxygenParameters++'!$A$2:$A$49,'++OxygenParameters++'!$B$2:$B$49)</f>
        <v>142.28305589191112</v>
      </c>
      <c r="G121" s="41">
        <v>0.72599999999999998</v>
      </c>
      <c r="H121" s="19">
        <v>5</v>
      </c>
      <c r="I121" s="19">
        <f t="shared" si="13"/>
        <v>1.2610000000000001</v>
      </c>
      <c r="J121" s="19">
        <f t="shared" si="14"/>
        <v>1E-3</v>
      </c>
      <c r="K121" s="3">
        <f t="shared" si="15"/>
        <v>2.8356894517870304</v>
      </c>
      <c r="L121" s="19"/>
    </row>
    <row r="122" spans="1:12" x14ac:dyDescent="0.2">
      <c r="A122" s="19" t="str">
        <v>CTD-010</v>
      </c>
      <c r="B122" s="19">
        <v>11</v>
      </c>
      <c r="C122" s="19" t="str">
        <v>No problems noted</v>
      </c>
      <c r="D122" s="19">
        <v>120</v>
      </c>
      <c r="E122" s="37" t="str">
        <v>OXY-047</v>
      </c>
      <c r="F122" s="19">
        <f>LOOKUP(E122,'++OxygenParameters++'!$A$2:$A$49,'++OxygenParameters++'!$B$2:$B$49)</f>
        <v>139.1110559197086</v>
      </c>
      <c r="G122" s="41">
        <v>0.71199999999999997</v>
      </c>
      <c r="H122" s="19">
        <v>5</v>
      </c>
      <c r="I122" s="19">
        <f t="shared" si="13"/>
        <v>1.2610000000000001</v>
      </c>
      <c r="J122" s="19">
        <f t="shared" si="14"/>
        <v>1E-3</v>
      </c>
      <c r="K122" s="3">
        <f t="shared" si="15"/>
        <v>2.845027428900949</v>
      </c>
      <c r="L122" s="19"/>
    </row>
    <row r="123" spans="1:12" x14ac:dyDescent="0.2">
      <c r="A123" s="19" t="str">
        <v>CTD-010</v>
      </c>
      <c r="B123" s="19">
        <v>14</v>
      </c>
      <c r="C123" s="19" t="str">
        <v>No problems noted</v>
      </c>
      <c r="D123" s="19">
        <v>100</v>
      </c>
      <c r="E123" s="37" t="str">
        <v>OXY-027</v>
      </c>
      <c r="F123" s="19">
        <f>LOOKUP(E123,'++OxygenParameters++'!$A$2:$A$49,'++OxygenParameters++'!$B$2:$B$49)</f>
        <v>140.5453572704084</v>
      </c>
      <c r="G123" s="41">
        <v>0.84599999999999997</v>
      </c>
      <c r="H123" s="19">
        <v>5</v>
      </c>
      <c r="I123" s="19">
        <f t="shared" si="13"/>
        <v>1.2610000000000001</v>
      </c>
      <c r="J123" s="19">
        <f t="shared" si="14"/>
        <v>1E-3</v>
      </c>
      <c r="K123" s="3">
        <f t="shared" si="15"/>
        <v>3.3485292723736535</v>
      </c>
      <c r="L123" s="19"/>
    </row>
    <row r="124" spans="1:12" x14ac:dyDescent="0.2">
      <c r="A124" s="19" t="str">
        <v>CTD-010</v>
      </c>
      <c r="B124" s="19">
        <v>14</v>
      </c>
      <c r="C124" s="19" t="str">
        <v>No problems noted</v>
      </c>
      <c r="D124" s="19">
        <v>100</v>
      </c>
      <c r="E124" s="37" t="str">
        <v>OXY-029</v>
      </c>
      <c r="F124" s="19">
        <f>LOOKUP(E124,'++OxygenParameters++'!$A$2:$A$49,'++OxygenParameters++'!$B$2:$B$49)</f>
        <v>141.42564496568471</v>
      </c>
      <c r="G124" s="41">
        <v>0.85199999999999998</v>
      </c>
      <c r="H124" s="19">
        <v>5</v>
      </c>
      <c r="I124" s="19">
        <f t="shared" si="13"/>
        <v>1.2610000000000001</v>
      </c>
      <c r="J124" s="19">
        <f t="shared" si="14"/>
        <v>1E-3</v>
      </c>
      <c r="K124" s="3">
        <f t="shared" si="15"/>
        <v>3.3511007577704714</v>
      </c>
      <c r="L124" s="19"/>
    </row>
    <row r="125" spans="1:12" x14ac:dyDescent="0.2">
      <c r="A125" s="19" t="str">
        <v>CTD-010</v>
      </c>
      <c r="B125" s="19">
        <v>16</v>
      </c>
      <c r="C125" s="19" t="str">
        <v>No problems noted</v>
      </c>
      <c r="D125" s="19">
        <v>80</v>
      </c>
      <c r="E125" s="37" t="str">
        <v>OXY-030</v>
      </c>
      <c r="F125" s="19">
        <f>LOOKUP(E125,'++OxygenParameters++'!$A$2:$A$49,'++OxygenParameters++'!$B$2:$B$49)</f>
        <v>140.71136301152507</v>
      </c>
      <c r="G125" s="41">
        <v>1.0720000000000001</v>
      </c>
      <c r="H125" s="19">
        <v>5</v>
      </c>
      <c r="I125" s="19">
        <f t="shared" si="13"/>
        <v>1.2610000000000001</v>
      </c>
      <c r="J125" s="19">
        <f t="shared" si="14"/>
        <v>1E-3</v>
      </c>
      <c r="K125" s="3">
        <f t="shared" si="15"/>
        <v>4.2423108652685295</v>
      </c>
      <c r="L125" s="19"/>
    </row>
    <row r="126" spans="1:12" x14ac:dyDescent="0.2">
      <c r="A126" s="19" t="str">
        <v>CTD-010</v>
      </c>
      <c r="B126" s="19">
        <v>16</v>
      </c>
      <c r="C126" s="19" t="str">
        <v>No problems noted</v>
      </c>
      <c r="D126" s="19">
        <v>80</v>
      </c>
      <c r="E126" s="37" t="str">
        <v>OXY-033</v>
      </c>
      <c r="F126" s="19">
        <f>LOOKUP(E126,'++OxygenParameters++'!$A$2:$A$49,'++OxygenParameters++'!$B$2:$B$49)</f>
        <v>140.44018454299524</v>
      </c>
      <c r="G126" s="41">
        <v>1.07</v>
      </c>
      <c r="H126" s="19">
        <v>5</v>
      </c>
      <c r="I126" s="19">
        <f t="shared" si="13"/>
        <v>1.2610000000000001</v>
      </c>
      <c r="J126" s="19">
        <f t="shared" si="14"/>
        <v>1E-3</v>
      </c>
      <c r="K126" s="3">
        <f t="shared" si="15"/>
        <v>4.2426601616455821</v>
      </c>
      <c r="L126" s="19" t="s">
        <v>535</v>
      </c>
    </row>
    <row r="127" spans="1:12" x14ac:dyDescent="0.2">
      <c r="A127" s="19" t="str">
        <v>CTD-010</v>
      </c>
      <c r="B127" s="19">
        <v>18</v>
      </c>
      <c r="C127" s="19" t="str">
        <v>No problems noted</v>
      </c>
      <c r="D127" s="19">
        <v>60</v>
      </c>
      <c r="E127" s="37" t="str">
        <v>OXY-022</v>
      </c>
      <c r="F127" s="19">
        <f>LOOKUP(E127,'++OxygenParameters++'!$A$2:$A$49,'++OxygenParameters++'!$B$2:$B$49)</f>
        <v>139.09460838398681</v>
      </c>
      <c r="G127" s="41">
        <v>1.212</v>
      </c>
      <c r="H127" s="19">
        <v>5</v>
      </c>
      <c r="I127" s="19">
        <f t="shared" si="13"/>
        <v>1.2610000000000001</v>
      </c>
      <c r="J127" s="19">
        <f t="shared" si="14"/>
        <v>1E-3</v>
      </c>
      <c r="K127" s="3">
        <f t="shared" si="15"/>
        <v>4.8550515580869824</v>
      </c>
      <c r="L127" s="19"/>
    </row>
    <row r="128" spans="1:12" x14ac:dyDescent="0.2">
      <c r="A128" s="19" t="str">
        <v>CTD-010</v>
      </c>
      <c r="B128" s="19">
        <v>18</v>
      </c>
      <c r="C128" s="19" t="str">
        <v>No problems noted</v>
      </c>
      <c r="D128" s="19">
        <v>60</v>
      </c>
      <c r="E128" s="37" t="str">
        <v>OXY-041</v>
      </c>
      <c r="F128" s="19">
        <f>LOOKUP(E128,'++OxygenParameters++'!$A$2:$A$49,'++OxygenParameters++'!$B$2:$B$49)</f>
        <v>138.88909957516373</v>
      </c>
      <c r="G128" s="41">
        <v>1.206</v>
      </c>
      <c r="H128" s="19">
        <v>5</v>
      </c>
      <c r="I128" s="19">
        <f t="shared" si="13"/>
        <v>1.2610000000000001</v>
      </c>
      <c r="J128" s="19">
        <f t="shared" si="14"/>
        <v>1E-3</v>
      </c>
      <c r="K128" s="3">
        <f t="shared" si="15"/>
        <v>4.8381879490019539</v>
      </c>
      <c r="L128" s="19"/>
    </row>
    <row r="129" spans="1:12" x14ac:dyDescent="0.2">
      <c r="A129" s="19" t="str">
        <v>CTD-010</v>
      </c>
      <c r="B129" s="19">
        <v>21</v>
      </c>
      <c r="C129" s="19" t="str">
        <v>No problems noted</v>
      </c>
      <c r="D129" s="19">
        <v>20</v>
      </c>
      <c r="E129" s="37" t="str">
        <v>OXY-031</v>
      </c>
      <c r="F129" s="19">
        <f>LOOKUP(E129,'++OxygenParameters++'!$A$2:$A$49,'++OxygenParameters++'!$B$2:$B$49)</f>
        <v>140.18935856244096</v>
      </c>
      <c r="G129" s="41">
        <v>1.6839999999999999</v>
      </c>
      <c r="H129" s="19">
        <v>5</v>
      </c>
      <c r="I129" s="19">
        <f t="shared" si="13"/>
        <v>1.2610000000000001</v>
      </c>
      <c r="J129" s="19">
        <f t="shared" si="14"/>
        <v>1E-3</v>
      </c>
      <c r="K129" s="3">
        <f t="shared" si="15"/>
        <v>6.6987005721181028</v>
      </c>
      <c r="L129" s="19"/>
    </row>
    <row r="130" spans="1:12" x14ac:dyDescent="0.2">
      <c r="A130" s="19" t="str">
        <v>CTD-010</v>
      </c>
      <c r="B130" s="19">
        <v>21</v>
      </c>
      <c r="C130" s="19" t="str">
        <v>No problems noted</v>
      </c>
      <c r="D130" s="19">
        <v>20</v>
      </c>
      <c r="E130" s="37" t="str">
        <v>OXY-042</v>
      </c>
      <c r="F130" s="19">
        <f>LOOKUP(E130,'++OxygenParameters++'!$A$2:$A$49,'++OxygenParameters++'!$B$2:$B$49)</f>
        <v>140.65264344106296</v>
      </c>
      <c r="G130" s="41">
        <v>1.6879999999999999</v>
      </c>
      <c r="H130" s="19">
        <v>5</v>
      </c>
      <c r="I130" s="19">
        <f t="shared" si="13"/>
        <v>1.2610000000000001</v>
      </c>
      <c r="J130" s="19">
        <f t="shared" si="14"/>
        <v>1E-3</v>
      </c>
      <c r="K130" s="3">
        <f t="shared" si="15"/>
        <v>6.6922147724822807</v>
      </c>
      <c r="L130" s="19"/>
    </row>
    <row r="131" spans="1:12" x14ac:dyDescent="0.2">
      <c r="A131" s="19" t="str">
        <v>CTD-010</v>
      </c>
      <c r="B131" s="19">
        <v>23</v>
      </c>
      <c r="C131" s="19" t="str">
        <v>No problems noted</v>
      </c>
      <c r="D131" s="19">
        <v>10</v>
      </c>
      <c r="E131" s="37" t="str">
        <v>OXY-032</v>
      </c>
      <c r="F131" s="19">
        <f>LOOKUP(E131,'++OxygenParameters++'!$A$2:$A$49,'++OxygenParameters++'!$B$2:$B$49)</f>
        <v>140.15112756577398</v>
      </c>
      <c r="G131" s="41">
        <v>1.516</v>
      </c>
      <c r="H131" s="19">
        <v>5</v>
      </c>
      <c r="I131" s="19">
        <f t="shared" si="13"/>
        <v>1.2610000000000001</v>
      </c>
      <c r="J131" s="19">
        <f t="shared" si="14"/>
        <v>1E-3</v>
      </c>
      <c r="K131" s="3">
        <f t="shared" si="15"/>
        <v>6.030464943879732</v>
      </c>
      <c r="L131" s="19"/>
    </row>
    <row r="132" spans="1:12" x14ac:dyDescent="0.2">
      <c r="A132" s="19" t="str">
        <v>CTD-010</v>
      </c>
      <c r="B132" s="19">
        <v>23</v>
      </c>
      <c r="C132" s="19" t="str">
        <v>No problems noted</v>
      </c>
      <c r="D132" s="19">
        <v>10</v>
      </c>
      <c r="E132" s="37" t="str">
        <v>OXY-044</v>
      </c>
      <c r="F132" s="19">
        <f>LOOKUP(E132,'++OxygenParameters++'!$A$2:$A$49,'++OxygenParameters++'!$B$2:$B$49)</f>
        <v>141.35374581814415</v>
      </c>
      <c r="G132" s="41">
        <v>1.528</v>
      </c>
      <c r="H132" s="19">
        <v>5</v>
      </c>
      <c r="I132" s="19">
        <f t="shared" si="13"/>
        <v>1.2610000000000001</v>
      </c>
      <c r="J132" s="19">
        <f t="shared" si="14"/>
        <v>1E-3</v>
      </c>
      <c r="K132" s="3">
        <f t="shared" si="15"/>
        <v>6.0258726958809259</v>
      </c>
      <c r="L132" s="19"/>
    </row>
    <row r="133" spans="1:12" x14ac:dyDescent="0.2">
      <c r="A133" s="19" t="str">
        <v>J2-1741</v>
      </c>
      <c r="B133" s="19" t="str">
        <v>Aft</v>
      </c>
      <c r="C133" s="19" t="str">
        <v>No problems noted</v>
      </c>
      <c r="D133" s="19">
        <v>578</v>
      </c>
      <c r="E133" s="37" t="str">
        <v>OXY-027</v>
      </c>
      <c r="F133" s="19">
        <f>LOOKUP(E133,'++OxygenParameters++'!$A$2:$A$49,'++OxygenParameters++'!$B$2:$B$49)</f>
        <v>140.5453572704084</v>
      </c>
      <c r="G133" s="41">
        <v>0.214</v>
      </c>
      <c r="H133" s="19">
        <v>6</v>
      </c>
      <c r="I133" s="19">
        <f t="shared" si="13"/>
        <v>1.2570000000000001</v>
      </c>
      <c r="J133" s="19">
        <f t="shared" si="14"/>
        <v>1.3333333333333333E-3</v>
      </c>
      <c r="K133" s="3">
        <f t="shared" si="15"/>
        <v>0.83648302550038089</v>
      </c>
      <c r="L133" s="19" t="s">
        <v>537</v>
      </c>
    </row>
    <row r="134" spans="1:12" x14ac:dyDescent="0.2">
      <c r="A134" s="19" t="str">
        <v>J2-1741</v>
      </c>
      <c r="B134" s="19" t="str">
        <v>Aft</v>
      </c>
      <c r="C134" s="19" t="str">
        <v>No problems noted</v>
      </c>
      <c r="D134" s="19">
        <v>578</v>
      </c>
      <c r="E134" s="37" t="str">
        <v>OXY-028</v>
      </c>
      <c r="F134" s="19">
        <f>LOOKUP(E134,'++OxygenParameters++'!$A$2:$A$49,'++OxygenParameters++'!$B$2:$B$49)</f>
        <v>138.93983555631596</v>
      </c>
      <c r="G134" s="41">
        <v>0.216</v>
      </c>
      <c r="H134" s="19">
        <v>6</v>
      </c>
      <c r="I134" s="19">
        <f t="shared" si="13"/>
        <v>1.2570000000000001</v>
      </c>
      <c r="J134" s="19">
        <f t="shared" si="14"/>
        <v>1.3333333333333333E-3</v>
      </c>
      <c r="K134" s="3">
        <f t="shared" si="15"/>
        <v>0.85436578120858808</v>
      </c>
      <c r="L134" s="19" t="s">
        <v>537</v>
      </c>
    </row>
    <row r="135" spans="1:12" x14ac:dyDescent="0.2">
      <c r="A135" s="19" t="str">
        <v>J2-1743</v>
      </c>
      <c r="B135" s="19" t="str">
        <v>Aft</v>
      </c>
      <c r="C135" s="19" t="str">
        <v>No problems noted</v>
      </c>
      <c r="D135" s="19">
        <v>80</v>
      </c>
      <c r="E135" s="37" t="str">
        <v>OXY-029</v>
      </c>
      <c r="F135" s="19">
        <f>LOOKUP(E135,'++OxygenParameters++'!$A$2:$A$49,'++OxygenParameters++'!$B$2:$B$49)</f>
        <v>141.42564496568471</v>
      </c>
      <c r="G135" s="41">
        <v>0.30599999999999999</v>
      </c>
      <c r="H135" s="19">
        <v>6</v>
      </c>
      <c r="I135" s="19">
        <f t="shared" si="13"/>
        <v>1.2570000000000001</v>
      </c>
      <c r="J135" s="19">
        <f t="shared" si="14"/>
        <v>1.3333333333333333E-3</v>
      </c>
      <c r="K135" s="3">
        <f t="shared" si="15"/>
        <v>1.1960558479225052</v>
      </c>
      <c r="L135" s="19" t="s">
        <v>537</v>
      </c>
    </row>
    <row r="136" spans="1:12" x14ac:dyDescent="0.2">
      <c r="A136" s="19" t="str">
        <v>J2-1743</v>
      </c>
      <c r="B136" s="19" t="str">
        <v>Aft</v>
      </c>
      <c r="C136" s="19" t="str">
        <v>No problems noted</v>
      </c>
      <c r="D136" s="19">
        <v>80</v>
      </c>
      <c r="E136" s="37" t="str">
        <v>OXY-030</v>
      </c>
      <c r="F136" s="19">
        <f>LOOKUP(E136,'++OxygenParameters++'!$A$2:$A$49,'++OxygenParameters++'!$B$2:$B$49)</f>
        <v>140.71136301152507</v>
      </c>
      <c r="G136" s="41">
        <v>0.32</v>
      </c>
      <c r="H136" s="19">
        <v>6</v>
      </c>
      <c r="I136" s="19">
        <f t="shared" si="13"/>
        <v>1.2570000000000001</v>
      </c>
      <c r="J136" s="19">
        <f t="shared" si="14"/>
        <v>1.3333333333333333E-3</v>
      </c>
      <c r="K136" s="3">
        <f t="shared" si="15"/>
        <v>1.2580220104428697</v>
      </c>
      <c r="L136" s="19" t="s">
        <v>537</v>
      </c>
    </row>
  </sheetData>
  <mergeCells count="29">
    <mergeCell ref="A3:B3"/>
    <mergeCell ref="A4:B4"/>
    <mergeCell ref="J15:J16"/>
    <mergeCell ref="I15:I16"/>
    <mergeCell ref="D6:H6"/>
    <mergeCell ref="A15:A16"/>
    <mergeCell ref="B15:B16"/>
    <mergeCell ref="D15:D16"/>
    <mergeCell ref="E15:E16"/>
    <mergeCell ref="F15:F16"/>
    <mergeCell ref="G15:G16"/>
    <mergeCell ref="H15:H16"/>
    <mergeCell ref="C15:C16"/>
    <mergeCell ref="L15:L16"/>
    <mergeCell ref="A6:B6"/>
    <mergeCell ref="A1:H1"/>
    <mergeCell ref="A2:B2"/>
    <mergeCell ref="W1:W2"/>
    <mergeCell ref="V1:V2"/>
    <mergeCell ref="N1:N2"/>
    <mergeCell ref="O1:O2"/>
    <mergeCell ref="P1:P2"/>
    <mergeCell ref="Q1:Q2"/>
    <mergeCell ref="R1:R2"/>
    <mergeCell ref="S1:S2"/>
    <mergeCell ref="T1:T2"/>
    <mergeCell ref="U1:U2"/>
    <mergeCell ref="D2:H2"/>
    <mergeCell ref="K15:K16"/>
  </mergeCells>
  <phoneticPr fontId="6" type="noConversion"/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CastList!$A$2</xm:f>
          </x14:formula1>
          <xm:sqref>D2:J2</xm:sqref>
        </x14:dataValidation>
        <x14:dataValidation type="list" allowBlank="1" showInputMessage="1" showErrorMessage="1" xr:uid="{00000000-0002-0000-0400-000001000000}">
          <x14:formula1>
            <xm:f>'++OxygenParameters++'!$F$2</xm:f>
          </x14:formula1>
          <xm:sqref>D3</xm:sqref>
        </x14:dataValidation>
        <x14:dataValidation type="list" allowBlank="1" showInputMessage="1" showErrorMessage="1" xr:uid="{00000000-0002-0000-0400-000002000000}">
          <x14:formula1>
            <xm:f>'++OxygenParameters++'!$E$2</xm:f>
          </x14:formula1>
          <xm:sqref>D4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DA0DE-75AC-6D45-9341-B4EF7947E80C}">
  <sheetPr codeName="Sheet17">
    <tabColor rgb="FF00B050"/>
  </sheetPr>
  <dimension ref="A1:J72"/>
  <sheetViews>
    <sheetView workbookViewId="0">
      <selection activeCell="I59" sqref="I59"/>
    </sheetView>
  </sheetViews>
  <sheetFormatPr baseColWidth="10" defaultRowHeight="16" x14ac:dyDescent="0.2"/>
  <cols>
    <col min="1" max="1" width="8" bestFit="1" customWidth="1"/>
    <col min="2" max="2" width="16.6640625" bestFit="1" customWidth="1"/>
    <col min="3" max="3" width="17" bestFit="1" customWidth="1"/>
    <col min="4" max="4" width="6.5" customWidth="1"/>
    <col min="5" max="5" width="14.33203125" bestFit="1" customWidth="1"/>
    <col min="6" max="6" width="15.83203125" bestFit="1" customWidth="1"/>
    <col min="7" max="7" width="7.5" bestFit="1" customWidth="1"/>
    <col min="8" max="8" width="7.83203125" bestFit="1" customWidth="1"/>
    <col min="9" max="9" width="10.33203125" bestFit="1" customWidth="1"/>
    <col min="10" max="10" width="27.1640625" bestFit="1" customWidth="1"/>
  </cols>
  <sheetData>
    <row r="1" spans="1:10" ht="17" customHeight="1" x14ac:dyDescent="0.2">
      <c r="A1" s="73" t="s">
        <v>12</v>
      </c>
      <c r="B1" s="73"/>
      <c r="C1" s="73"/>
      <c r="D1" s="73"/>
      <c r="E1" s="73"/>
      <c r="F1" s="73"/>
      <c r="G1" s="73"/>
      <c r="H1" s="73"/>
      <c r="I1" s="73"/>
    </row>
    <row r="2" spans="1:10" x14ac:dyDescent="0.2">
      <c r="A2" s="71" t="s">
        <v>1</v>
      </c>
      <c r="B2" s="71"/>
      <c r="C2" s="72" t="s">
        <v>247</v>
      </c>
      <c r="D2" s="72"/>
      <c r="E2" s="72"/>
      <c r="F2" s="72"/>
      <c r="G2" s="72"/>
      <c r="H2" s="72"/>
      <c r="I2" s="72"/>
    </row>
    <row r="3" spans="1:10" x14ac:dyDescent="0.2">
      <c r="A3" s="71"/>
      <c r="B3" s="71"/>
      <c r="C3" s="72"/>
      <c r="D3" s="72"/>
      <c r="E3" s="72"/>
      <c r="F3" s="72"/>
      <c r="G3" s="72"/>
      <c r="H3" s="72"/>
      <c r="I3" s="72"/>
    </row>
    <row r="4" spans="1:10" x14ac:dyDescent="0.2">
      <c r="A4" s="71"/>
      <c r="B4" s="71"/>
      <c r="C4" s="72"/>
      <c r="D4" s="72"/>
      <c r="E4" s="72"/>
      <c r="F4" s="72"/>
      <c r="G4" s="72"/>
      <c r="H4" s="72"/>
      <c r="I4" s="72"/>
    </row>
    <row r="5" spans="1:10" ht="13" customHeight="1" x14ac:dyDescent="0.2">
      <c r="A5" s="1"/>
      <c r="B5" s="1"/>
    </row>
    <row r="6" spans="1:10" x14ac:dyDescent="0.2">
      <c r="A6" s="66" t="s">
        <v>4</v>
      </c>
      <c r="B6" s="66"/>
      <c r="C6" s="67"/>
      <c r="D6" s="67"/>
      <c r="E6" s="67"/>
      <c r="F6" s="67"/>
      <c r="G6" s="67"/>
      <c r="H6" s="67"/>
      <c r="I6" s="67"/>
    </row>
    <row r="7" spans="1:10" ht="13" customHeight="1" x14ac:dyDescent="0.2"/>
    <row r="8" spans="1:10" ht="13" customHeight="1" x14ac:dyDescent="0.2">
      <c r="A8" s="68" t="s">
        <v>5</v>
      </c>
      <c r="B8" s="68" t="s">
        <v>7</v>
      </c>
      <c r="C8" s="68" t="s">
        <v>19</v>
      </c>
      <c r="D8" s="68" t="s">
        <v>6</v>
      </c>
      <c r="E8" s="69" t="s">
        <v>11</v>
      </c>
      <c r="F8" s="64" t="s">
        <v>235</v>
      </c>
      <c r="G8" s="64" t="s">
        <v>9</v>
      </c>
      <c r="H8" s="64" t="s">
        <v>13</v>
      </c>
      <c r="I8" s="64" t="s">
        <v>10</v>
      </c>
      <c r="J8" s="63" t="s">
        <v>0</v>
      </c>
    </row>
    <row r="9" spans="1:10" ht="15" customHeight="1" x14ac:dyDescent="0.2">
      <c r="A9" s="68"/>
      <c r="B9" s="68"/>
      <c r="C9" s="68"/>
      <c r="D9" s="68"/>
      <c r="E9" s="69"/>
      <c r="F9" s="65"/>
      <c r="G9" s="64"/>
      <c r="H9" s="65"/>
      <c r="I9" s="70"/>
      <c r="J9" s="63"/>
    </row>
    <row r="10" spans="1:10" x14ac:dyDescent="0.2">
      <c r="A10" s="19" t="str" cm="1">
        <f t="array" ref="A10:D60">(_xlfn._xlws.FILTER((SampleList!A2:INDEX(SampleList!D:D, ROWS(SampleList!Z:Z))),(SampleList!Z2:INDEX(SampleList!Z:Z, ROWS(SampleList!Z:Z)))&lt;&gt;""))</f>
        <v>CTD-001</v>
      </c>
      <c r="B10" s="19">
        <v>6</v>
      </c>
      <c r="C10" s="19" t="str">
        <v>No problems noted</v>
      </c>
      <c r="D10" s="19">
        <v>180</v>
      </c>
      <c r="E10" s="19" t="str" cm="1">
        <f t="array" ref="E10:E60">(_xlfn._xlws.FILTER((SampleList!Z2:INDEX(SampleList!Z:Z, ROWS(SampleList!Z:Z))),(SampleList!Z2:INDEX(SampleList!Z:Z, ROWS(SampleList!Z:Z)))&lt;&gt;""))</f>
        <v>CHL-005</v>
      </c>
      <c r="F10" s="47">
        <v>45874.759722222225</v>
      </c>
      <c r="G10" s="28">
        <v>500</v>
      </c>
      <c r="H10" s="28">
        <v>10</v>
      </c>
      <c r="I10" s="28">
        <v>1007</v>
      </c>
      <c r="J10" s="19"/>
    </row>
    <row r="11" spans="1:10" x14ac:dyDescent="0.2">
      <c r="A11" s="19" t="str">
        <v>CTD-001</v>
      </c>
      <c r="B11" s="19">
        <v>8</v>
      </c>
      <c r="C11" s="19" t="str">
        <v>No problems noted</v>
      </c>
      <c r="D11" s="19">
        <v>160</v>
      </c>
      <c r="E11" s="19" t="str">
        <v>CHL-016</v>
      </c>
      <c r="F11" s="47">
        <v>45874.759722222225</v>
      </c>
      <c r="G11" s="28">
        <v>500</v>
      </c>
      <c r="H11" s="28">
        <v>10</v>
      </c>
      <c r="I11" s="28">
        <v>1008</v>
      </c>
      <c r="J11" s="19"/>
    </row>
    <row r="12" spans="1:10" x14ac:dyDescent="0.2">
      <c r="A12" s="19" t="str">
        <v>CTD-001</v>
      </c>
      <c r="B12" s="19">
        <v>11</v>
      </c>
      <c r="C12" s="19" t="str">
        <v>No problems noted</v>
      </c>
      <c r="D12" s="19">
        <v>120</v>
      </c>
      <c r="E12" s="19" t="str">
        <v>CHL-025</v>
      </c>
      <c r="F12" s="47">
        <v>45874.759722222225</v>
      </c>
      <c r="G12" s="28">
        <v>500</v>
      </c>
      <c r="H12" s="28">
        <v>10</v>
      </c>
      <c r="I12" s="28">
        <v>1006</v>
      </c>
      <c r="J12" s="19"/>
    </row>
    <row r="13" spans="1:10" x14ac:dyDescent="0.2">
      <c r="A13" s="19" t="str">
        <v>CTD-001</v>
      </c>
      <c r="B13" s="19">
        <v>16</v>
      </c>
      <c r="C13" s="19" t="str">
        <v>No problems noted</v>
      </c>
      <c r="D13" s="19">
        <v>80</v>
      </c>
      <c r="E13" s="19" t="str">
        <v>CHL-018</v>
      </c>
      <c r="F13" s="47">
        <v>45874.759722222225</v>
      </c>
      <c r="G13" s="28">
        <v>500</v>
      </c>
      <c r="H13" s="28">
        <v>10</v>
      </c>
      <c r="I13" s="28">
        <v>1005</v>
      </c>
      <c r="J13" s="19"/>
    </row>
    <row r="14" spans="1:10" x14ac:dyDescent="0.2">
      <c r="A14" s="19" t="str">
        <v>CTD-001</v>
      </c>
      <c r="B14" s="19">
        <v>18</v>
      </c>
      <c r="C14" s="19" t="str">
        <v>No problems noted</v>
      </c>
      <c r="D14" s="19">
        <v>60</v>
      </c>
      <c r="E14" s="19" t="str">
        <v>CHL-031</v>
      </c>
      <c r="F14" s="47">
        <v>45874.759722222225</v>
      </c>
      <c r="G14" s="28">
        <v>500</v>
      </c>
      <c r="H14" s="28">
        <v>10</v>
      </c>
      <c r="I14" s="28">
        <v>1004</v>
      </c>
      <c r="J14" s="19"/>
    </row>
    <row r="15" spans="1:10" x14ac:dyDescent="0.2">
      <c r="A15" s="19" t="str">
        <v>CTD-001</v>
      </c>
      <c r="B15" s="19">
        <v>20</v>
      </c>
      <c r="C15" s="19" t="str">
        <v>No problems noted</v>
      </c>
      <c r="D15" s="19">
        <v>40</v>
      </c>
      <c r="E15" s="19" t="str">
        <v>CHL-012</v>
      </c>
      <c r="F15" s="47">
        <v>45874.759722222225</v>
      </c>
      <c r="G15" s="28">
        <v>500</v>
      </c>
      <c r="H15" s="28">
        <v>10</v>
      </c>
      <c r="I15" s="28">
        <v>1003</v>
      </c>
      <c r="J15" s="19"/>
    </row>
    <row r="16" spans="1:10" x14ac:dyDescent="0.2">
      <c r="A16" s="19" t="str">
        <v>CTD-001</v>
      </c>
      <c r="B16" s="19">
        <v>22</v>
      </c>
      <c r="C16" s="19" t="str">
        <v>No problems noted</v>
      </c>
      <c r="D16" s="19">
        <v>20</v>
      </c>
      <c r="E16" s="19" t="str">
        <v>CHL-032</v>
      </c>
      <c r="F16" s="47">
        <v>45874.759722222225</v>
      </c>
      <c r="G16" s="28">
        <v>500</v>
      </c>
      <c r="H16" s="28">
        <v>10</v>
      </c>
      <c r="I16" s="28">
        <v>1001</v>
      </c>
      <c r="J16" s="19"/>
    </row>
    <row r="17" spans="1:10" x14ac:dyDescent="0.2">
      <c r="A17" s="19" t="str">
        <v>CTD-001</v>
      </c>
      <c r="B17" s="19">
        <v>24</v>
      </c>
      <c r="C17" s="19" t="str">
        <v>No problems noted</v>
      </c>
      <c r="D17" s="19">
        <v>10</v>
      </c>
      <c r="E17" s="19" t="str">
        <v>CHL-033</v>
      </c>
      <c r="F17" s="47">
        <v>45874.759722222225</v>
      </c>
      <c r="G17" s="28">
        <v>500</v>
      </c>
      <c r="H17" s="28">
        <v>10</v>
      </c>
      <c r="I17" s="28">
        <v>1002</v>
      </c>
      <c r="J17" s="19"/>
    </row>
    <row r="18" spans="1:10" x14ac:dyDescent="0.2">
      <c r="A18" s="19" t="str">
        <v>J2-1696</v>
      </c>
      <c r="B18" s="19" t="str">
        <v>Aft</v>
      </c>
      <c r="C18" s="19" t="str">
        <v>No problems noted</v>
      </c>
      <c r="D18" s="19">
        <v>197</v>
      </c>
      <c r="E18" s="19" t="str">
        <v>CHL-011</v>
      </c>
      <c r="F18" s="47">
        <v>45874.759722222225</v>
      </c>
      <c r="G18" s="28">
        <v>500</v>
      </c>
      <c r="H18" s="28">
        <v>10</v>
      </c>
      <c r="I18" s="28">
        <v>1009</v>
      </c>
      <c r="J18" s="19"/>
    </row>
    <row r="19" spans="1:10" x14ac:dyDescent="0.2">
      <c r="A19" s="59" t="str">
        <v>J2-1698</v>
      </c>
      <c r="B19" s="59" t="str">
        <v>Forward</v>
      </c>
      <c r="C19" s="59" t="str">
        <v>No problems noted</v>
      </c>
      <c r="D19" s="59">
        <v>197</v>
      </c>
      <c r="E19" s="59" t="str">
        <v>CHL-038</v>
      </c>
      <c r="F19" s="60"/>
      <c r="G19" s="61"/>
      <c r="H19" s="61"/>
      <c r="I19" s="61"/>
      <c r="J19" s="59" t="s">
        <v>654</v>
      </c>
    </row>
    <row r="20" spans="1:10" x14ac:dyDescent="0.2">
      <c r="A20" s="19" t="str">
        <v>CTD-002</v>
      </c>
      <c r="B20" s="19">
        <v>6</v>
      </c>
      <c r="C20" s="19" t="str">
        <v>No problems noted</v>
      </c>
      <c r="D20" s="19">
        <v>180</v>
      </c>
      <c r="E20" s="19" t="str">
        <v>CHL-027</v>
      </c>
      <c r="F20" s="47">
        <v>45874.759722222225</v>
      </c>
      <c r="G20" s="28">
        <v>500</v>
      </c>
      <c r="H20" s="28">
        <v>10</v>
      </c>
      <c r="I20" s="28">
        <v>1012</v>
      </c>
      <c r="J20" s="19"/>
    </row>
    <row r="21" spans="1:10" x14ac:dyDescent="0.2">
      <c r="A21" s="19" t="str">
        <v>CTD-002</v>
      </c>
      <c r="B21" s="19">
        <v>8</v>
      </c>
      <c r="C21" s="19" t="str">
        <v>No problems noted</v>
      </c>
      <c r="D21" s="19">
        <v>160</v>
      </c>
      <c r="E21" s="19" t="str">
        <v>CHL-019</v>
      </c>
      <c r="F21" s="47">
        <v>45874.759722222225</v>
      </c>
      <c r="G21" s="28">
        <v>500</v>
      </c>
      <c r="H21" s="28">
        <v>10</v>
      </c>
      <c r="I21" s="28">
        <v>1010</v>
      </c>
      <c r="J21" s="19"/>
    </row>
    <row r="22" spans="1:10" x14ac:dyDescent="0.2">
      <c r="A22" s="19" t="str">
        <v>CTD-002</v>
      </c>
      <c r="B22" s="19">
        <v>11</v>
      </c>
      <c r="C22" s="19" t="str">
        <v>No problems noted</v>
      </c>
      <c r="D22" s="19">
        <v>120</v>
      </c>
      <c r="E22" s="19" t="str">
        <v>CHL-021</v>
      </c>
      <c r="F22" s="47">
        <v>45874.759722222225</v>
      </c>
      <c r="G22" s="28">
        <v>500</v>
      </c>
      <c r="H22" s="28">
        <v>10</v>
      </c>
      <c r="I22" s="28">
        <v>1011</v>
      </c>
      <c r="J22" s="19"/>
    </row>
    <row r="23" spans="1:10" x14ac:dyDescent="0.2">
      <c r="A23" s="19" t="str">
        <v>CTD-002</v>
      </c>
      <c r="B23" s="19">
        <v>16</v>
      </c>
      <c r="C23" s="19" t="str">
        <v>No problems noted</v>
      </c>
      <c r="D23" s="19">
        <v>80</v>
      </c>
      <c r="E23" s="19" t="str">
        <v>CHL-037</v>
      </c>
      <c r="F23" s="47">
        <v>45874.759722222225</v>
      </c>
      <c r="G23" s="28">
        <v>500</v>
      </c>
      <c r="H23" s="28">
        <v>10</v>
      </c>
      <c r="I23" s="28">
        <v>1014</v>
      </c>
      <c r="J23" s="19"/>
    </row>
    <row r="24" spans="1:10" x14ac:dyDescent="0.2">
      <c r="A24" s="19" t="str">
        <v>CTD-002</v>
      </c>
      <c r="B24" s="19">
        <v>18</v>
      </c>
      <c r="C24" s="19" t="str">
        <v>No problems noted</v>
      </c>
      <c r="D24" s="19">
        <v>60</v>
      </c>
      <c r="E24" s="19" t="str">
        <v>CHL-039</v>
      </c>
      <c r="F24" s="47">
        <v>45874.759722222225</v>
      </c>
      <c r="G24" s="28">
        <v>500</v>
      </c>
      <c r="H24" s="28">
        <v>10</v>
      </c>
      <c r="I24" s="28">
        <v>1017</v>
      </c>
      <c r="J24" s="19"/>
    </row>
    <row r="25" spans="1:10" x14ac:dyDescent="0.2">
      <c r="A25" s="19" t="str">
        <v>CTD-002</v>
      </c>
      <c r="B25" s="19">
        <v>20</v>
      </c>
      <c r="C25" s="19" t="str">
        <v>No problems noted</v>
      </c>
      <c r="D25" s="19">
        <v>40</v>
      </c>
      <c r="E25" s="19" t="str">
        <v>CHL-008</v>
      </c>
      <c r="F25" s="47">
        <v>45874.759722222225</v>
      </c>
      <c r="G25" s="28">
        <v>500</v>
      </c>
      <c r="H25" s="28">
        <v>10</v>
      </c>
      <c r="I25" s="28">
        <v>1015</v>
      </c>
      <c r="J25" s="19"/>
    </row>
    <row r="26" spans="1:10" x14ac:dyDescent="0.2">
      <c r="A26" s="19" t="str">
        <v>CTD-002</v>
      </c>
      <c r="B26" s="19">
        <v>22</v>
      </c>
      <c r="C26" s="19" t="str">
        <v>No problems noted</v>
      </c>
      <c r="D26" s="19">
        <v>20</v>
      </c>
      <c r="E26" s="19" t="str">
        <v>CHL-003</v>
      </c>
      <c r="F26" s="47">
        <v>45874.759722222225</v>
      </c>
      <c r="G26" s="28">
        <v>500</v>
      </c>
      <c r="H26" s="28">
        <v>10</v>
      </c>
      <c r="I26" s="28">
        <v>1013</v>
      </c>
      <c r="J26" s="19"/>
    </row>
    <row r="27" spans="1:10" x14ac:dyDescent="0.2">
      <c r="A27" s="19" t="str">
        <v>CTD-002</v>
      </c>
      <c r="B27" s="19">
        <v>24</v>
      </c>
      <c r="C27" s="19" t="str">
        <v>No problems noted</v>
      </c>
      <c r="D27" s="19">
        <v>10</v>
      </c>
      <c r="E27" s="19" t="str">
        <v>CHL-002</v>
      </c>
      <c r="F27" s="47">
        <v>45874.759722222225</v>
      </c>
      <c r="G27" s="28">
        <v>500</v>
      </c>
      <c r="H27" s="28">
        <v>10</v>
      </c>
      <c r="I27" s="28">
        <v>1016</v>
      </c>
      <c r="J27" s="19"/>
    </row>
    <row r="28" spans="1:10" x14ac:dyDescent="0.2">
      <c r="A28" s="19" t="str">
        <v>J2-1699</v>
      </c>
      <c r="B28" s="19" t="str">
        <v>Aft</v>
      </c>
      <c r="C28" s="19" t="str">
        <v>No problems noted</v>
      </c>
      <c r="D28" s="19">
        <v>200</v>
      </c>
      <c r="E28" s="19" t="str">
        <v>CHL-007</v>
      </c>
      <c r="F28" s="47">
        <v>45874.759722222225</v>
      </c>
      <c r="G28" s="28">
        <v>500</v>
      </c>
      <c r="H28" s="28">
        <v>10</v>
      </c>
      <c r="I28" s="28">
        <v>1018</v>
      </c>
      <c r="J28" s="19"/>
    </row>
    <row r="29" spans="1:10" x14ac:dyDescent="0.2">
      <c r="A29" s="19" t="str">
        <v>J2-1702</v>
      </c>
      <c r="B29" s="19" t="str">
        <v>Aft</v>
      </c>
      <c r="C29" s="19" t="str">
        <v>No problems noted</v>
      </c>
      <c r="D29" s="19">
        <v>200</v>
      </c>
      <c r="E29" s="19" t="str">
        <v>CHL-027</v>
      </c>
      <c r="F29" s="47">
        <v>45877.5625</v>
      </c>
      <c r="G29" s="28">
        <v>500</v>
      </c>
      <c r="H29" s="28">
        <v>10</v>
      </c>
      <c r="I29" s="28">
        <v>1019</v>
      </c>
      <c r="J29" s="19"/>
    </row>
    <row r="30" spans="1:10" x14ac:dyDescent="0.2">
      <c r="A30" s="19" t="str">
        <v>J2-1704</v>
      </c>
      <c r="B30" s="19" t="str">
        <v>Aft</v>
      </c>
      <c r="C30" s="19" t="str">
        <v>No problems noted</v>
      </c>
      <c r="D30" s="19">
        <v>185</v>
      </c>
      <c r="E30" s="19" t="str">
        <v>CHL-005</v>
      </c>
      <c r="F30" s="47">
        <v>45877.5625</v>
      </c>
      <c r="G30" s="28">
        <v>500</v>
      </c>
      <c r="H30" s="28">
        <v>10</v>
      </c>
      <c r="I30" s="28">
        <v>1020</v>
      </c>
      <c r="J30" s="19"/>
    </row>
    <row r="31" spans="1:10" x14ac:dyDescent="0.2">
      <c r="A31" s="19" t="str">
        <v>J2-1706</v>
      </c>
      <c r="B31" s="19" t="str">
        <v>Forward</v>
      </c>
      <c r="C31" s="19" t="str">
        <v>No problems noted</v>
      </c>
      <c r="D31" s="19">
        <v>2607</v>
      </c>
      <c r="E31" s="19" t="str">
        <v>CHL-015</v>
      </c>
      <c r="F31" s="47">
        <v>45877.5625</v>
      </c>
      <c r="G31" s="28">
        <v>500</v>
      </c>
      <c r="H31" s="28">
        <v>10</v>
      </c>
      <c r="I31" s="28">
        <v>1021</v>
      </c>
      <c r="J31" s="19"/>
    </row>
    <row r="32" spans="1:10" x14ac:dyDescent="0.2">
      <c r="A32" s="19" t="str">
        <v>J2-1713</v>
      </c>
      <c r="B32" s="19" t="str">
        <v>Forward</v>
      </c>
      <c r="C32" s="19" t="str">
        <v>No problems noted</v>
      </c>
      <c r="D32" s="19">
        <v>191.5</v>
      </c>
      <c r="E32" s="19" t="str">
        <v>CHL-011</v>
      </c>
      <c r="F32" s="47">
        <v>45882.690972222219</v>
      </c>
      <c r="G32" s="28">
        <v>500</v>
      </c>
      <c r="H32" s="28">
        <v>10</v>
      </c>
      <c r="I32" s="28">
        <v>1022</v>
      </c>
      <c r="J32" s="19"/>
    </row>
    <row r="33" spans="1:10" x14ac:dyDescent="0.2">
      <c r="A33" s="19" t="str">
        <v>J2-1714</v>
      </c>
      <c r="B33" s="19" t="str">
        <v>Forward</v>
      </c>
      <c r="C33" s="19" t="str">
        <v>No problems noted</v>
      </c>
      <c r="D33" s="19">
        <v>600</v>
      </c>
      <c r="E33" s="19" t="str">
        <v>CHL-005</v>
      </c>
      <c r="F33" s="47">
        <v>45882.690972222219</v>
      </c>
      <c r="G33" s="28">
        <v>500</v>
      </c>
      <c r="H33" s="28">
        <v>10</v>
      </c>
      <c r="I33" s="28">
        <v>1023</v>
      </c>
      <c r="J33" s="19"/>
    </row>
    <row r="34" spans="1:10" x14ac:dyDescent="0.2">
      <c r="A34" s="19" t="str">
        <v>J2-1723</v>
      </c>
      <c r="B34" s="19" t="str">
        <v>Forward</v>
      </c>
      <c r="C34" s="19" t="str">
        <v>No problems noted</v>
      </c>
      <c r="D34" s="19">
        <v>80</v>
      </c>
      <c r="E34" s="19" t="str">
        <v>CHL-039</v>
      </c>
      <c r="F34" s="47">
        <v>45894.668055555558</v>
      </c>
      <c r="G34" s="28">
        <v>500</v>
      </c>
      <c r="H34" s="28">
        <v>10</v>
      </c>
      <c r="I34" s="28">
        <v>6002</v>
      </c>
      <c r="J34" s="19" t="s">
        <v>534</v>
      </c>
    </row>
    <row r="35" spans="1:10" x14ac:dyDescent="0.2">
      <c r="A35" s="19" t="str">
        <v>CTD-007</v>
      </c>
      <c r="B35" s="19">
        <v>6</v>
      </c>
      <c r="C35" s="19" t="str">
        <v>No problems noted</v>
      </c>
      <c r="D35" s="19">
        <v>180</v>
      </c>
      <c r="E35" s="19" t="str">
        <v>CHL-016</v>
      </c>
      <c r="F35" s="47">
        <v>45887.833333333336</v>
      </c>
      <c r="G35" s="28">
        <v>500</v>
      </c>
      <c r="H35" s="28">
        <v>10</v>
      </c>
      <c r="I35" s="28">
        <v>5061</v>
      </c>
      <c r="J35" s="19"/>
    </row>
    <row r="36" spans="1:10" x14ac:dyDescent="0.2">
      <c r="A36" s="19" t="str">
        <v>CTD-007</v>
      </c>
      <c r="B36" s="19">
        <v>8</v>
      </c>
      <c r="C36" s="19" t="str">
        <v>No problems noted</v>
      </c>
      <c r="D36" s="19">
        <v>160</v>
      </c>
      <c r="E36" s="19" t="str">
        <v>CHL-005</v>
      </c>
      <c r="F36" s="47">
        <v>45887.833333333336</v>
      </c>
      <c r="G36" s="28">
        <v>500</v>
      </c>
      <c r="H36" s="28">
        <v>10</v>
      </c>
      <c r="I36" s="28">
        <v>5062</v>
      </c>
      <c r="J36" s="19"/>
    </row>
    <row r="37" spans="1:10" x14ac:dyDescent="0.2">
      <c r="A37" s="19" t="str">
        <v>CTD-007</v>
      </c>
      <c r="B37" s="19">
        <v>11</v>
      </c>
      <c r="C37" s="19" t="str">
        <v>No problems noted</v>
      </c>
      <c r="D37" s="19">
        <v>120</v>
      </c>
      <c r="E37" s="19" t="str">
        <v>CHL-022</v>
      </c>
      <c r="F37" s="47">
        <v>45887.833333333336</v>
      </c>
      <c r="G37" s="28">
        <v>500</v>
      </c>
      <c r="H37" s="28">
        <v>10</v>
      </c>
      <c r="I37" s="28">
        <v>5073</v>
      </c>
      <c r="J37" s="19"/>
    </row>
    <row r="38" spans="1:10" x14ac:dyDescent="0.2">
      <c r="A38" s="19" t="str">
        <v>CTD-007</v>
      </c>
      <c r="B38" s="19">
        <v>16</v>
      </c>
      <c r="C38" s="19" t="str">
        <v>No problems noted</v>
      </c>
      <c r="D38" s="19">
        <v>80</v>
      </c>
      <c r="E38" s="19" t="str">
        <v>CHL-007</v>
      </c>
      <c r="F38" s="47">
        <v>45887.833333333336</v>
      </c>
      <c r="G38" s="28">
        <v>500</v>
      </c>
      <c r="H38" s="28">
        <v>10</v>
      </c>
      <c r="I38" s="28">
        <v>5063</v>
      </c>
      <c r="J38" s="19"/>
    </row>
    <row r="39" spans="1:10" x14ac:dyDescent="0.2">
      <c r="A39" s="19" t="str">
        <v>CTD-007</v>
      </c>
      <c r="B39" s="19">
        <v>18</v>
      </c>
      <c r="C39" s="19" t="str">
        <v>No problems noted</v>
      </c>
      <c r="D39" s="19">
        <v>60</v>
      </c>
      <c r="E39" s="19" t="str">
        <v>CHL-011</v>
      </c>
      <c r="F39" s="47">
        <v>45887.833333333336</v>
      </c>
      <c r="G39" s="28">
        <v>500</v>
      </c>
      <c r="H39" s="28">
        <v>10</v>
      </c>
      <c r="I39" s="28">
        <v>5074</v>
      </c>
      <c r="J39" s="19"/>
    </row>
    <row r="40" spans="1:10" x14ac:dyDescent="0.2">
      <c r="A40" s="19" t="str">
        <v>CTD-007</v>
      </c>
      <c r="B40" s="19">
        <v>20</v>
      </c>
      <c r="C40" s="19" t="str">
        <v>No problems noted</v>
      </c>
      <c r="D40" s="19">
        <v>40</v>
      </c>
      <c r="E40" s="19" t="str">
        <v>CHL-015</v>
      </c>
      <c r="F40" s="47">
        <v>45887.833333333336</v>
      </c>
      <c r="G40" s="28">
        <v>500</v>
      </c>
      <c r="H40" s="28">
        <v>10</v>
      </c>
      <c r="I40" s="28">
        <v>5075</v>
      </c>
      <c r="J40" s="19"/>
    </row>
    <row r="41" spans="1:10" x14ac:dyDescent="0.2">
      <c r="A41" s="19" t="str">
        <v>CTD-007</v>
      </c>
      <c r="B41" s="19">
        <v>22</v>
      </c>
      <c r="C41" s="19" t="str">
        <v>No problems noted</v>
      </c>
      <c r="D41" s="19">
        <v>20</v>
      </c>
      <c r="E41" s="19" t="str">
        <v>CHL-027</v>
      </c>
      <c r="F41" s="47">
        <v>45887.833333333336</v>
      </c>
      <c r="G41" s="28">
        <v>500</v>
      </c>
      <c r="H41" s="28">
        <v>10</v>
      </c>
      <c r="I41" s="28">
        <v>5067</v>
      </c>
      <c r="J41" s="19"/>
    </row>
    <row r="42" spans="1:10" x14ac:dyDescent="0.2">
      <c r="A42" s="19" t="str">
        <v>CTD-007</v>
      </c>
      <c r="B42" s="19">
        <v>24</v>
      </c>
      <c r="C42" s="19" t="str">
        <v>No problems noted</v>
      </c>
      <c r="D42" s="19">
        <v>10</v>
      </c>
      <c r="E42" s="19" t="str">
        <v>CHL-018</v>
      </c>
      <c r="F42" s="47">
        <v>45887.833333333336</v>
      </c>
      <c r="G42" s="28">
        <v>500</v>
      </c>
      <c r="H42" s="28">
        <v>10</v>
      </c>
      <c r="I42" s="28">
        <v>5064</v>
      </c>
      <c r="J42" s="19"/>
    </row>
    <row r="43" spans="1:10" x14ac:dyDescent="0.2">
      <c r="A43" s="19" t="str">
        <v>CTD-008</v>
      </c>
      <c r="B43" s="19">
        <v>6</v>
      </c>
      <c r="C43" s="19" t="str">
        <v>No problems noted</v>
      </c>
      <c r="D43" s="19">
        <v>180</v>
      </c>
      <c r="E43" s="19" t="str">
        <v>CHL-027</v>
      </c>
      <c r="F43" s="47">
        <v>45894.668055555558</v>
      </c>
      <c r="G43" s="28">
        <v>500</v>
      </c>
      <c r="H43" s="28">
        <v>10</v>
      </c>
      <c r="I43" s="28">
        <v>6003</v>
      </c>
      <c r="J43" s="19"/>
    </row>
    <row r="44" spans="1:10" x14ac:dyDescent="0.2">
      <c r="A44" s="19" t="str">
        <v>CTD-008</v>
      </c>
      <c r="B44" s="19">
        <v>8</v>
      </c>
      <c r="C44" s="19" t="str">
        <v>No problems noted</v>
      </c>
      <c r="D44" s="19">
        <v>160</v>
      </c>
      <c r="E44" s="19" t="str">
        <v>CHL-022</v>
      </c>
      <c r="F44" s="47">
        <v>45894.668055555558</v>
      </c>
      <c r="G44" s="28">
        <v>500</v>
      </c>
      <c r="H44" s="28">
        <v>10</v>
      </c>
      <c r="I44" s="28">
        <v>5070</v>
      </c>
      <c r="J44" s="19"/>
    </row>
    <row r="45" spans="1:10" x14ac:dyDescent="0.2">
      <c r="A45" s="19" t="str">
        <v>CTD-008</v>
      </c>
      <c r="B45" s="19">
        <v>11</v>
      </c>
      <c r="C45" s="19" t="str">
        <v>No problems noted</v>
      </c>
      <c r="D45" s="19">
        <v>120</v>
      </c>
      <c r="E45" s="19" t="str">
        <v>CHL-031</v>
      </c>
      <c r="F45" s="47">
        <v>45894.668055555558</v>
      </c>
      <c r="G45" s="28">
        <v>500</v>
      </c>
      <c r="H45" s="28">
        <v>10</v>
      </c>
      <c r="I45" s="28">
        <v>5068</v>
      </c>
      <c r="J45" s="19"/>
    </row>
    <row r="46" spans="1:10" x14ac:dyDescent="0.2">
      <c r="A46" s="19" t="str">
        <v>CTD-008</v>
      </c>
      <c r="B46" s="19">
        <v>16</v>
      </c>
      <c r="C46" s="19" t="str">
        <v>No problems noted</v>
      </c>
      <c r="D46" s="19">
        <v>80</v>
      </c>
      <c r="E46" s="19" t="str">
        <v>CHL-012</v>
      </c>
      <c r="F46" s="47">
        <v>45894.668055555558</v>
      </c>
      <c r="G46" s="28">
        <v>500</v>
      </c>
      <c r="H46" s="28">
        <v>10</v>
      </c>
      <c r="I46" s="28">
        <v>5069</v>
      </c>
      <c r="J46" s="19"/>
    </row>
    <row r="47" spans="1:10" x14ac:dyDescent="0.2">
      <c r="A47" s="19" t="str">
        <v>CTD-008</v>
      </c>
      <c r="B47" s="19">
        <v>18</v>
      </c>
      <c r="C47" s="19" t="str">
        <v>No problems noted</v>
      </c>
      <c r="D47" s="19">
        <v>60</v>
      </c>
      <c r="E47" s="19" t="str">
        <v>CHL-016</v>
      </c>
      <c r="F47" s="47">
        <v>45894.668055555558</v>
      </c>
      <c r="G47" s="28">
        <v>500</v>
      </c>
      <c r="H47" s="28">
        <v>10</v>
      </c>
      <c r="I47" s="28">
        <v>5071</v>
      </c>
      <c r="J47" s="19"/>
    </row>
    <row r="48" spans="1:10" x14ac:dyDescent="0.2">
      <c r="A48" s="19" t="str">
        <v>CTD-008</v>
      </c>
      <c r="B48" s="19">
        <v>20</v>
      </c>
      <c r="C48" s="19" t="str">
        <v>No problems noted</v>
      </c>
      <c r="D48" s="19">
        <v>40</v>
      </c>
      <c r="E48" s="28" t="str">
        <v>CHL-005</v>
      </c>
      <c r="F48" s="47">
        <v>45894.668055555558</v>
      </c>
      <c r="G48" s="28">
        <v>500</v>
      </c>
      <c r="H48" s="28">
        <v>10</v>
      </c>
      <c r="I48" s="28">
        <v>5065</v>
      </c>
      <c r="J48" s="19"/>
    </row>
    <row r="49" spans="1:10" x14ac:dyDescent="0.2">
      <c r="A49" s="19" t="str">
        <v>CTD-008</v>
      </c>
      <c r="B49" s="19">
        <v>22</v>
      </c>
      <c r="C49" s="19" t="str">
        <v>No problems noted</v>
      </c>
      <c r="D49" s="19">
        <v>20</v>
      </c>
      <c r="E49" s="28" t="str">
        <v>CHL-007</v>
      </c>
      <c r="F49" s="47">
        <v>45894.668055555558</v>
      </c>
      <c r="G49" s="28">
        <v>500</v>
      </c>
      <c r="H49" s="28">
        <v>10</v>
      </c>
      <c r="I49" s="28">
        <v>5066</v>
      </c>
      <c r="J49" s="19"/>
    </row>
    <row r="50" spans="1:10" x14ac:dyDescent="0.2">
      <c r="A50" s="19" t="str">
        <v>CTD-008</v>
      </c>
      <c r="B50" s="19">
        <v>24</v>
      </c>
      <c r="C50" s="19" t="str">
        <v>No problems noted</v>
      </c>
      <c r="D50" s="19">
        <v>10</v>
      </c>
      <c r="E50" s="28" t="str">
        <v>CHL-011</v>
      </c>
      <c r="F50" s="47">
        <v>45894.668055555558</v>
      </c>
      <c r="G50" s="28">
        <v>500</v>
      </c>
      <c r="H50" s="28">
        <v>10</v>
      </c>
      <c r="I50" s="28">
        <v>6001</v>
      </c>
      <c r="J50" s="19"/>
    </row>
    <row r="51" spans="1:10" x14ac:dyDescent="0.2">
      <c r="A51" s="19" t="str">
        <v>CTD-010</v>
      </c>
      <c r="B51" s="19">
        <v>6</v>
      </c>
      <c r="C51" s="19" t="str">
        <v>No problems noted</v>
      </c>
      <c r="D51" s="19">
        <v>180</v>
      </c>
      <c r="E51" s="28" t="str">
        <v>CHL-017</v>
      </c>
      <c r="F51" s="47">
        <v>45896.53125</v>
      </c>
      <c r="G51" s="28">
        <v>500</v>
      </c>
      <c r="H51" s="28">
        <v>10</v>
      </c>
      <c r="I51" s="28">
        <v>5072</v>
      </c>
      <c r="J51" s="19"/>
    </row>
    <row r="52" spans="1:10" x14ac:dyDescent="0.2">
      <c r="A52" s="19" t="str">
        <v>CTD-010</v>
      </c>
      <c r="B52" s="19">
        <v>8</v>
      </c>
      <c r="C52" s="19" t="str">
        <v>No problems noted</v>
      </c>
      <c r="D52" s="19">
        <v>160</v>
      </c>
      <c r="E52" s="19" t="str">
        <v>CHL-004</v>
      </c>
      <c r="F52" s="47">
        <v>45896.53125</v>
      </c>
      <c r="G52" s="28">
        <v>500</v>
      </c>
      <c r="H52" s="28">
        <v>10</v>
      </c>
      <c r="I52" s="28">
        <v>6005</v>
      </c>
      <c r="J52" s="19"/>
    </row>
    <row r="53" spans="1:10" x14ac:dyDescent="0.2">
      <c r="A53" s="19" t="str">
        <v>CTD-010</v>
      </c>
      <c r="B53" s="19">
        <v>11</v>
      </c>
      <c r="C53" s="19" t="str">
        <v>No problems noted</v>
      </c>
      <c r="D53" s="19">
        <v>120</v>
      </c>
      <c r="E53" s="19" t="str">
        <v>CHL-019</v>
      </c>
      <c r="F53" s="47">
        <v>45896.53125</v>
      </c>
      <c r="G53" s="28">
        <v>500</v>
      </c>
      <c r="H53" s="28">
        <v>10</v>
      </c>
      <c r="I53" s="28">
        <v>6004</v>
      </c>
      <c r="J53" s="19"/>
    </row>
    <row r="54" spans="1:10" x14ac:dyDescent="0.2">
      <c r="A54" s="19" t="str">
        <v>CTD-010</v>
      </c>
      <c r="B54" s="19">
        <v>16</v>
      </c>
      <c r="C54" s="19" t="str">
        <v>No problems noted</v>
      </c>
      <c r="D54" s="19">
        <v>80</v>
      </c>
      <c r="E54" s="19" t="str">
        <v>CHL-003</v>
      </c>
      <c r="F54" s="47">
        <v>45896.53125</v>
      </c>
      <c r="G54" s="28">
        <v>500</v>
      </c>
      <c r="H54" s="28">
        <v>10</v>
      </c>
      <c r="I54" s="28">
        <v>6006</v>
      </c>
      <c r="J54" s="19"/>
    </row>
    <row r="55" spans="1:10" x14ac:dyDescent="0.2">
      <c r="A55" s="19" t="str">
        <v>CTD-010</v>
      </c>
      <c r="B55" s="19">
        <v>18</v>
      </c>
      <c r="C55" s="19" t="str">
        <v>No problems noted</v>
      </c>
      <c r="D55" s="19">
        <v>60</v>
      </c>
      <c r="E55" s="19" t="str">
        <v>CHL-032</v>
      </c>
      <c r="F55" s="47">
        <v>45896.53125</v>
      </c>
      <c r="G55" s="28">
        <v>500</v>
      </c>
      <c r="H55" s="28">
        <v>10</v>
      </c>
      <c r="I55" s="28">
        <v>6008</v>
      </c>
      <c r="J55" s="19"/>
    </row>
    <row r="56" spans="1:10" x14ac:dyDescent="0.2">
      <c r="A56" s="19" t="str">
        <v>CTD-010</v>
      </c>
      <c r="B56" s="19">
        <v>20</v>
      </c>
      <c r="C56" s="19" t="str">
        <v>No problems noted</v>
      </c>
      <c r="D56" s="19">
        <v>40</v>
      </c>
      <c r="E56" s="19" t="str">
        <v>CHL-018</v>
      </c>
      <c r="F56" s="47">
        <v>45896.53125</v>
      </c>
      <c r="G56" s="28">
        <v>500</v>
      </c>
      <c r="H56" s="28">
        <v>10</v>
      </c>
      <c r="I56" s="28">
        <v>6010</v>
      </c>
      <c r="J56" s="19"/>
    </row>
    <row r="57" spans="1:10" x14ac:dyDescent="0.2">
      <c r="A57" s="19" t="str">
        <v>CTD-010</v>
      </c>
      <c r="B57" s="19">
        <v>22</v>
      </c>
      <c r="C57" s="19" t="str">
        <v>No problems noted</v>
      </c>
      <c r="D57" s="19">
        <v>20</v>
      </c>
      <c r="E57" s="19" t="str">
        <v>CHL-002</v>
      </c>
      <c r="F57" s="47">
        <v>45896.53125</v>
      </c>
      <c r="G57" s="28">
        <v>500</v>
      </c>
      <c r="H57" s="28">
        <v>10</v>
      </c>
      <c r="I57" s="28">
        <v>6007</v>
      </c>
      <c r="J57" s="19"/>
    </row>
    <row r="58" spans="1:10" x14ac:dyDescent="0.2">
      <c r="A58" s="19" t="str">
        <v>CTD-010</v>
      </c>
      <c r="B58" s="19">
        <v>24</v>
      </c>
      <c r="C58" s="19" t="str">
        <v>No problems noted</v>
      </c>
      <c r="D58" s="19">
        <v>10</v>
      </c>
      <c r="E58" s="19" t="str">
        <v>CHL-015</v>
      </c>
      <c r="F58" s="47">
        <v>45896.53125</v>
      </c>
      <c r="G58" s="28">
        <v>500</v>
      </c>
      <c r="H58" s="28">
        <v>10</v>
      </c>
      <c r="I58" s="28">
        <v>6009</v>
      </c>
      <c r="J58" s="19"/>
    </row>
    <row r="59" spans="1:10" x14ac:dyDescent="0.2">
      <c r="A59" s="19" t="str">
        <v>J2-1741</v>
      </c>
      <c r="B59" s="19" t="str">
        <v>Forward</v>
      </c>
      <c r="C59" s="19" t="str">
        <v>No problems noted</v>
      </c>
      <c r="D59" s="19">
        <v>578</v>
      </c>
      <c r="E59" s="19" t="str">
        <v>CHL-022</v>
      </c>
      <c r="F59" s="47">
        <v>45897.441666666666</v>
      </c>
      <c r="G59" s="28">
        <v>500</v>
      </c>
      <c r="H59" s="28">
        <v>10</v>
      </c>
      <c r="I59" s="28">
        <v>6012</v>
      </c>
      <c r="J59" s="19"/>
    </row>
    <row r="60" spans="1:10" x14ac:dyDescent="0.2">
      <c r="A60" s="19" t="str">
        <v>J2-1743</v>
      </c>
      <c r="B60" s="19" t="str">
        <v>Forward</v>
      </c>
      <c r="C60" s="19" t="str">
        <v>No problems noted</v>
      </c>
      <c r="D60" s="19">
        <v>80</v>
      </c>
      <c r="E60" s="19" t="str">
        <v>CHL-003</v>
      </c>
      <c r="F60" s="47">
        <v>45897.441666666666</v>
      </c>
      <c r="G60" s="28">
        <v>500</v>
      </c>
      <c r="H60" s="28">
        <v>10</v>
      </c>
      <c r="I60" s="28">
        <v>6011</v>
      </c>
      <c r="J60" s="19"/>
    </row>
    <row r="61" spans="1:10" x14ac:dyDescent="0.2">
      <c r="A61" s="19"/>
      <c r="B61" s="19"/>
      <c r="C61" s="19"/>
      <c r="D61" s="19"/>
      <c r="E61" s="19"/>
      <c r="F61" s="28"/>
      <c r="G61" s="28"/>
      <c r="H61" s="28"/>
      <c r="I61" s="28"/>
      <c r="J61" s="19"/>
    </row>
    <row r="62" spans="1:10" x14ac:dyDescent="0.2">
      <c r="A62" s="19"/>
      <c r="B62" s="19"/>
      <c r="C62" s="19"/>
      <c r="D62" s="19"/>
      <c r="E62" s="19"/>
      <c r="F62" s="28"/>
      <c r="G62" s="28"/>
      <c r="H62" s="28"/>
      <c r="I62" s="28"/>
      <c r="J62" s="19"/>
    </row>
    <row r="63" spans="1:10" x14ac:dyDescent="0.2">
      <c r="A63" s="19"/>
      <c r="B63" s="19"/>
      <c r="C63" s="19"/>
      <c r="D63" s="19"/>
      <c r="E63" s="19"/>
      <c r="F63" s="28"/>
      <c r="G63" s="28"/>
      <c r="H63" s="28"/>
      <c r="I63" s="28"/>
      <c r="J63" s="19"/>
    </row>
    <row r="64" spans="1:10" x14ac:dyDescent="0.2">
      <c r="A64" s="19"/>
      <c r="B64" s="19"/>
      <c r="C64" s="19"/>
      <c r="D64" s="19"/>
      <c r="E64" s="19"/>
      <c r="F64" s="28"/>
      <c r="G64" s="28"/>
      <c r="H64" s="28"/>
      <c r="I64" s="28"/>
      <c r="J64" s="19"/>
    </row>
    <row r="65" spans="1:10" x14ac:dyDescent="0.2">
      <c r="A65" s="19"/>
      <c r="B65" s="19"/>
      <c r="C65" s="19"/>
      <c r="D65" s="19"/>
      <c r="E65" s="19"/>
      <c r="F65" s="28"/>
      <c r="G65" s="28"/>
      <c r="H65" s="28"/>
      <c r="I65" s="28"/>
      <c r="J65" s="19"/>
    </row>
    <row r="66" spans="1:10" x14ac:dyDescent="0.2">
      <c r="A66" s="19"/>
      <c r="B66" s="19"/>
      <c r="C66" s="19"/>
      <c r="D66" s="19"/>
      <c r="E66" s="19"/>
      <c r="F66" s="28"/>
      <c r="G66" s="28"/>
      <c r="H66" s="28"/>
      <c r="I66" s="28"/>
      <c r="J66" s="19"/>
    </row>
    <row r="67" spans="1:10" x14ac:dyDescent="0.2">
      <c r="A67" s="19"/>
      <c r="B67" s="19"/>
      <c r="C67" s="19"/>
      <c r="D67" s="19"/>
      <c r="E67" s="19"/>
      <c r="F67" s="28"/>
      <c r="G67" s="28"/>
      <c r="H67" s="28"/>
      <c r="I67" s="28"/>
      <c r="J67" s="19"/>
    </row>
    <row r="68" spans="1:10" x14ac:dyDescent="0.2">
      <c r="A68" s="19"/>
      <c r="B68" s="19"/>
      <c r="C68" s="19"/>
      <c r="D68" s="19"/>
      <c r="E68" s="19"/>
      <c r="F68" s="28"/>
      <c r="G68" s="28"/>
      <c r="H68" s="28"/>
      <c r="I68" s="28"/>
      <c r="J68" s="19"/>
    </row>
    <row r="69" spans="1:10" x14ac:dyDescent="0.2">
      <c r="A69" s="19"/>
      <c r="B69" s="19"/>
      <c r="C69" s="19"/>
      <c r="D69" s="19"/>
      <c r="E69" s="19"/>
      <c r="F69" s="28"/>
      <c r="G69" s="28"/>
      <c r="H69" s="28"/>
      <c r="I69" s="28"/>
      <c r="J69" s="19"/>
    </row>
    <row r="70" spans="1:10" x14ac:dyDescent="0.2">
      <c r="A70" s="19"/>
      <c r="B70" s="19"/>
      <c r="C70" s="19"/>
      <c r="D70" s="19"/>
      <c r="E70" s="19"/>
      <c r="F70" s="28"/>
      <c r="G70" s="28"/>
      <c r="H70" s="28"/>
      <c r="I70" s="28"/>
      <c r="J70" s="19"/>
    </row>
    <row r="71" spans="1:10" x14ac:dyDescent="0.2">
      <c r="A71" s="19"/>
      <c r="B71" s="19"/>
      <c r="C71" s="19"/>
      <c r="D71" s="19"/>
      <c r="E71" s="19"/>
      <c r="F71" s="28"/>
      <c r="G71" s="28"/>
      <c r="H71" s="28"/>
      <c r="I71" s="28"/>
      <c r="J71" s="19"/>
    </row>
    <row r="72" spans="1:10" x14ac:dyDescent="0.2">
      <c r="A72" s="19"/>
      <c r="B72" s="19"/>
      <c r="C72" s="19"/>
      <c r="D72" s="19"/>
      <c r="E72" s="19"/>
      <c r="F72" s="28"/>
      <c r="G72" s="28"/>
      <c r="H72" s="28"/>
      <c r="I72" s="28"/>
      <c r="J72" s="19"/>
    </row>
  </sheetData>
  <mergeCells count="19">
    <mergeCell ref="A4:B4"/>
    <mergeCell ref="C4:I4"/>
    <mergeCell ref="A1:I1"/>
    <mergeCell ref="A2:B2"/>
    <mergeCell ref="C2:I2"/>
    <mergeCell ref="A3:B3"/>
    <mergeCell ref="C3:I3"/>
    <mergeCell ref="J8:J9"/>
    <mergeCell ref="F8:F9"/>
    <mergeCell ref="A6:B6"/>
    <mergeCell ref="C6:I6"/>
    <mergeCell ref="A8:A9"/>
    <mergeCell ref="B8:B9"/>
    <mergeCell ref="C8:C9"/>
    <mergeCell ref="D8:D9"/>
    <mergeCell ref="E8:E9"/>
    <mergeCell ref="G8:G9"/>
    <mergeCell ref="H8:H9"/>
    <mergeCell ref="I8:I9"/>
  </mergeCells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364117-B600-D143-83F4-B47CBBFE6860}">
          <x14:formula1>
            <xm:f>CastList!$A$2</xm:f>
          </x14:formula1>
          <xm:sqref>C2:I2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002060"/>
  </sheetPr>
  <dimension ref="A1:B10"/>
  <sheetViews>
    <sheetView workbookViewId="0">
      <selection activeCell="B17" sqref="B17"/>
    </sheetView>
  </sheetViews>
  <sheetFormatPr baseColWidth="10" defaultRowHeight="16" x14ac:dyDescent="0.2"/>
  <cols>
    <col min="1" max="1" width="26.1640625" bestFit="1" customWidth="1"/>
    <col min="2" max="2" width="52.83203125" bestFit="1" customWidth="1"/>
  </cols>
  <sheetData>
    <row r="1" spans="1:2" x14ac:dyDescent="0.2">
      <c r="A1" t="s">
        <v>149</v>
      </c>
      <c r="B1" s="12" t="s">
        <v>150</v>
      </c>
    </row>
    <row r="2" spans="1:2" x14ac:dyDescent="0.2">
      <c r="A2" t="s">
        <v>140</v>
      </c>
      <c r="B2" t="s">
        <v>242</v>
      </c>
    </row>
    <row r="3" spans="1:2" x14ac:dyDescent="0.2">
      <c r="A3" t="s">
        <v>141</v>
      </c>
      <c r="B3" t="s">
        <v>242</v>
      </c>
    </row>
    <row r="4" spans="1:2" x14ac:dyDescent="0.2">
      <c r="A4" t="s">
        <v>142</v>
      </c>
      <c r="B4" t="s">
        <v>242</v>
      </c>
    </row>
    <row r="5" spans="1:2" x14ac:dyDescent="0.2">
      <c r="A5" t="s">
        <v>143</v>
      </c>
      <c r="B5" t="s">
        <v>242</v>
      </c>
    </row>
    <row r="6" spans="1:2" x14ac:dyDescent="0.2">
      <c r="A6" t="s">
        <v>144</v>
      </c>
      <c r="B6" t="s">
        <v>242</v>
      </c>
    </row>
    <row r="7" spans="1:2" x14ac:dyDescent="0.2">
      <c r="A7" t="s">
        <v>145</v>
      </c>
      <c r="B7" t="s">
        <v>242</v>
      </c>
    </row>
    <row r="8" spans="1:2" x14ac:dyDescent="0.2">
      <c r="A8" t="s">
        <v>146</v>
      </c>
      <c r="B8" t="s">
        <v>242</v>
      </c>
    </row>
    <row r="9" spans="1:2" x14ac:dyDescent="0.2">
      <c r="A9" t="s">
        <v>147</v>
      </c>
      <c r="B9" t="s">
        <v>43</v>
      </c>
    </row>
    <row r="10" spans="1:2" x14ac:dyDescent="0.2">
      <c r="A10" t="s">
        <v>148</v>
      </c>
      <c r="B10" t="s">
        <v>242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_Flags_!$D$2:$D$9</xm:f>
          </x14:formula1>
          <xm:sqref>B2:B10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rgb="FF002060"/>
  </sheetPr>
  <dimension ref="A1:B4"/>
  <sheetViews>
    <sheetView workbookViewId="0"/>
  </sheetViews>
  <sheetFormatPr baseColWidth="10" defaultRowHeight="16" x14ac:dyDescent="0.2"/>
  <cols>
    <col min="1" max="1" width="26.1640625" bestFit="1" customWidth="1"/>
    <col min="2" max="2" width="22.5" bestFit="1" customWidth="1"/>
  </cols>
  <sheetData>
    <row r="1" spans="1:2" x14ac:dyDescent="0.2">
      <c r="A1" t="s">
        <v>149</v>
      </c>
      <c r="B1" s="12" t="s">
        <v>150</v>
      </c>
    </row>
    <row r="2" spans="1:2" x14ac:dyDescent="0.2">
      <c r="A2" t="s">
        <v>140</v>
      </c>
      <c r="B2" t="s">
        <v>43</v>
      </c>
    </row>
    <row r="3" spans="1:2" x14ac:dyDescent="0.2">
      <c r="A3" t="s">
        <v>141</v>
      </c>
      <c r="B3" t="s">
        <v>43</v>
      </c>
    </row>
    <row r="4" spans="1:2" x14ac:dyDescent="0.2">
      <c r="A4" t="s">
        <v>143</v>
      </c>
      <c r="B4" t="s">
        <v>43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_Flags_!$D$2:$D$9</xm:f>
          </x14:formula1>
          <xm:sqref>B2:B4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rgb="FF7030A0"/>
  </sheetPr>
  <dimension ref="A1:K49"/>
  <sheetViews>
    <sheetView tabSelected="1" workbookViewId="0">
      <selection activeCell="K13" sqref="K13"/>
    </sheetView>
  </sheetViews>
  <sheetFormatPr baseColWidth="10" defaultRowHeight="16" x14ac:dyDescent="0.2"/>
  <cols>
    <col min="1" max="1" width="16.33203125" style="8" bestFit="1" customWidth="1"/>
    <col min="2" max="2" width="15.83203125" bestFit="1" customWidth="1"/>
    <col min="5" max="5" width="14.6640625" bestFit="1" customWidth="1"/>
  </cols>
  <sheetData>
    <row r="1" spans="1:11" ht="21" x14ac:dyDescent="0.25">
      <c r="A1" s="34" t="s">
        <v>65</v>
      </c>
      <c r="B1" s="13" t="s">
        <v>66</v>
      </c>
      <c r="E1" s="2" t="s">
        <v>90</v>
      </c>
      <c r="F1" s="2" t="s">
        <v>91</v>
      </c>
      <c r="K1" s="44" t="s">
        <v>246</v>
      </c>
    </row>
    <row r="2" spans="1:11" x14ac:dyDescent="0.2">
      <c r="A2" t="s">
        <v>333</v>
      </c>
      <c r="B2" s="40">
        <v>140.80133251291429</v>
      </c>
      <c r="E2" s="48">
        <v>4.9850000000000003</v>
      </c>
      <c r="F2" s="48">
        <v>2.4879999999999999E-2</v>
      </c>
    </row>
    <row r="3" spans="1:11" x14ac:dyDescent="0.2">
      <c r="A3" t="s">
        <v>334</v>
      </c>
      <c r="B3" s="40">
        <v>141.39978411671305</v>
      </c>
    </row>
    <row r="4" spans="1:11" x14ac:dyDescent="0.2">
      <c r="A4" t="s">
        <v>342</v>
      </c>
      <c r="B4" s="40">
        <v>140.78129532314443</v>
      </c>
      <c r="J4" s="40"/>
    </row>
    <row r="5" spans="1:11" x14ac:dyDescent="0.2">
      <c r="A5" t="s">
        <v>343</v>
      </c>
      <c r="B5" s="40">
        <v>141.24810732808774</v>
      </c>
      <c r="J5" s="40"/>
    </row>
    <row r="6" spans="1:11" x14ac:dyDescent="0.2">
      <c r="A6" t="s">
        <v>350</v>
      </c>
      <c r="B6" s="40">
        <v>139.10877400564874</v>
      </c>
      <c r="J6" s="40"/>
    </row>
    <row r="7" spans="1:11" x14ac:dyDescent="0.2">
      <c r="A7" t="s">
        <v>351</v>
      </c>
      <c r="B7" s="40">
        <v>139.33978823851609</v>
      </c>
      <c r="J7" s="40"/>
    </row>
    <row r="8" spans="1:11" x14ac:dyDescent="0.2">
      <c r="A8" t="s">
        <v>358</v>
      </c>
      <c r="B8" s="40">
        <v>140.81194228659652</v>
      </c>
      <c r="J8" s="40"/>
    </row>
    <row r="9" spans="1:11" x14ac:dyDescent="0.2">
      <c r="A9" t="s">
        <v>359</v>
      </c>
      <c r="B9" s="40">
        <v>140.22113727698931</v>
      </c>
      <c r="J9" s="40"/>
    </row>
    <row r="10" spans="1:11" x14ac:dyDescent="0.2">
      <c r="A10" t="s">
        <v>363</v>
      </c>
      <c r="B10" s="40">
        <v>137.50723787565539</v>
      </c>
      <c r="J10" s="40"/>
    </row>
    <row r="11" spans="1:11" x14ac:dyDescent="0.2">
      <c r="A11" t="s">
        <v>364</v>
      </c>
      <c r="B11" s="40">
        <v>142.78041215917332</v>
      </c>
    </row>
    <row r="12" spans="1:11" x14ac:dyDescent="0.2">
      <c r="A12" t="s">
        <v>368</v>
      </c>
      <c r="B12" s="40">
        <v>140.6831791803244</v>
      </c>
    </row>
    <row r="13" spans="1:11" x14ac:dyDescent="0.2">
      <c r="A13" t="s">
        <v>369</v>
      </c>
      <c r="B13" s="40">
        <v>139.51629736985885</v>
      </c>
    </row>
    <row r="14" spans="1:11" x14ac:dyDescent="0.2">
      <c r="A14" t="s">
        <v>375</v>
      </c>
      <c r="B14" s="40">
        <v>140.66403085114609</v>
      </c>
    </row>
    <row r="15" spans="1:11" x14ac:dyDescent="0.2">
      <c r="A15" t="s">
        <v>376</v>
      </c>
      <c r="B15" s="40">
        <v>140.39470842817286</v>
      </c>
    </row>
    <row r="16" spans="1:11" x14ac:dyDescent="0.2">
      <c r="A16" s="16" t="s">
        <v>418</v>
      </c>
      <c r="B16" s="49">
        <v>141.40751330398976</v>
      </c>
      <c r="C16" s="16" t="s">
        <v>417</v>
      </c>
      <c r="D16" s="16"/>
      <c r="E16" s="16"/>
    </row>
    <row r="17" spans="1:10" x14ac:dyDescent="0.2">
      <c r="A17" t="s">
        <v>380</v>
      </c>
      <c r="B17" s="40">
        <v>140.26683839053629</v>
      </c>
    </row>
    <row r="18" spans="1:10" x14ac:dyDescent="0.2">
      <c r="A18" t="s">
        <v>381</v>
      </c>
      <c r="B18" s="40">
        <v>135.29738468755733</v>
      </c>
    </row>
    <row r="19" spans="1:10" x14ac:dyDescent="0.2">
      <c r="A19" t="s">
        <v>390</v>
      </c>
      <c r="B19" s="40">
        <v>138.6929640601829</v>
      </c>
    </row>
    <row r="20" spans="1:10" x14ac:dyDescent="0.2">
      <c r="A20" t="s">
        <v>386</v>
      </c>
      <c r="B20" s="40">
        <v>137.20899131147266</v>
      </c>
    </row>
    <row r="21" spans="1:10" x14ac:dyDescent="0.2">
      <c r="A21" t="s">
        <v>402</v>
      </c>
      <c r="B21" s="40">
        <v>151.10618035117901</v>
      </c>
    </row>
    <row r="22" spans="1:10" x14ac:dyDescent="0.2">
      <c r="A22" t="s">
        <v>403</v>
      </c>
      <c r="B22" s="40">
        <v>140.5859590960454</v>
      </c>
    </row>
    <row r="23" spans="1:10" x14ac:dyDescent="0.2">
      <c r="A23" t="s">
        <v>419</v>
      </c>
      <c r="B23" s="40">
        <v>139.09460838398681</v>
      </c>
      <c r="J23" s="40"/>
    </row>
    <row r="24" spans="1:10" x14ac:dyDescent="0.2">
      <c r="A24" t="s">
        <v>405</v>
      </c>
      <c r="B24" s="40">
        <v>140.91807728306378</v>
      </c>
      <c r="J24" s="40"/>
    </row>
    <row r="25" spans="1:10" x14ac:dyDescent="0.2">
      <c r="A25" t="s">
        <v>406</v>
      </c>
      <c r="B25" s="40">
        <v>138.00282365711595</v>
      </c>
      <c r="J25" s="40"/>
    </row>
    <row r="26" spans="1:10" x14ac:dyDescent="0.2">
      <c r="A26" t="s">
        <v>270</v>
      </c>
      <c r="B26" s="40">
        <v>139.82799928978994</v>
      </c>
      <c r="J26" s="40"/>
    </row>
    <row r="27" spans="1:10" x14ac:dyDescent="0.2">
      <c r="A27" t="s">
        <v>271</v>
      </c>
      <c r="B27" s="40">
        <v>141.12035178551869</v>
      </c>
      <c r="J27" s="40"/>
    </row>
    <row r="28" spans="1:10" x14ac:dyDescent="0.2">
      <c r="A28" t="s">
        <v>278</v>
      </c>
      <c r="B28" s="40">
        <v>140.5453572704084</v>
      </c>
      <c r="J28" s="40"/>
    </row>
    <row r="29" spans="1:10" x14ac:dyDescent="0.2">
      <c r="A29" t="s">
        <v>279</v>
      </c>
      <c r="B29" s="40">
        <v>138.93983555631596</v>
      </c>
      <c r="J29" s="40"/>
    </row>
    <row r="30" spans="1:10" x14ac:dyDescent="0.2">
      <c r="A30" t="s">
        <v>285</v>
      </c>
      <c r="B30" s="40">
        <v>141.42564496568471</v>
      </c>
      <c r="J30" s="40"/>
    </row>
    <row r="31" spans="1:10" x14ac:dyDescent="0.2">
      <c r="A31" t="s">
        <v>286</v>
      </c>
      <c r="B31" s="40">
        <v>140.71136301152507</v>
      </c>
      <c r="J31" s="40"/>
    </row>
    <row r="32" spans="1:10" x14ac:dyDescent="0.2">
      <c r="A32" t="s">
        <v>293</v>
      </c>
      <c r="B32" s="40">
        <v>140.18935856244096</v>
      </c>
      <c r="J32" s="40"/>
    </row>
    <row r="33" spans="1:10" x14ac:dyDescent="0.2">
      <c r="A33" t="s">
        <v>294</v>
      </c>
      <c r="B33" s="40">
        <v>140.15112756577398</v>
      </c>
      <c r="J33" s="40"/>
    </row>
    <row r="34" spans="1:10" x14ac:dyDescent="0.2">
      <c r="A34" t="s">
        <v>298</v>
      </c>
      <c r="B34" s="40">
        <v>140.44018454299524</v>
      </c>
      <c r="J34" s="40"/>
    </row>
    <row r="35" spans="1:10" x14ac:dyDescent="0.2">
      <c r="A35" t="s">
        <v>299</v>
      </c>
      <c r="B35" s="40">
        <v>136.87371747081994</v>
      </c>
      <c r="J35" s="40"/>
    </row>
    <row r="36" spans="1:10" x14ac:dyDescent="0.2">
      <c r="A36" t="s">
        <v>303</v>
      </c>
      <c r="B36" s="40">
        <v>142.63345801702329</v>
      </c>
      <c r="J36" s="40"/>
    </row>
    <row r="37" spans="1:10" x14ac:dyDescent="0.2">
      <c r="A37" t="s">
        <v>304</v>
      </c>
      <c r="B37" s="40">
        <v>143.19461954236044</v>
      </c>
      <c r="J37" s="40"/>
    </row>
    <row r="38" spans="1:10" x14ac:dyDescent="0.2">
      <c r="A38" t="s">
        <v>310</v>
      </c>
      <c r="B38" s="40">
        <v>141.38213083960898</v>
      </c>
      <c r="J38" s="40"/>
    </row>
    <row r="39" spans="1:10" x14ac:dyDescent="0.2">
      <c r="A39" t="s">
        <v>311</v>
      </c>
      <c r="B39" s="40">
        <v>137.09025998620626</v>
      </c>
      <c r="J39" s="40"/>
    </row>
    <row r="40" spans="1:10" x14ac:dyDescent="0.2">
      <c r="A40" t="s">
        <v>315</v>
      </c>
      <c r="B40" s="40">
        <v>138.87787176426485</v>
      </c>
    </row>
    <row r="41" spans="1:10" x14ac:dyDescent="0.2">
      <c r="A41" t="s">
        <v>316</v>
      </c>
      <c r="B41" s="40">
        <v>142.28305589191112</v>
      </c>
    </row>
    <row r="42" spans="1:10" x14ac:dyDescent="0.2">
      <c r="A42" t="s">
        <v>321</v>
      </c>
      <c r="B42" s="40">
        <v>138.88909957516373</v>
      </c>
    </row>
    <row r="43" spans="1:10" x14ac:dyDescent="0.2">
      <c r="A43" t="s">
        <v>322</v>
      </c>
      <c r="B43" s="40">
        <v>140.65264344106296</v>
      </c>
    </row>
    <row r="44" spans="1:10" x14ac:dyDescent="0.2">
      <c r="A44" t="s">
        <v>327</v>
      </c>
      <c r="B44" s="40">
        <v>138.23959584504792</v>
      </c>
    </row>
    <row r="45" spans="1:10" x14ac:dyDescent="0.2">
      <c r="A45" t="s">
        <v>328</v>
      </c>
      <c r="B45" s="40">
        <v>141.35374581814415</v>
      </c>
    </row>
    <row r="46" spans="1:10" x14ac:dyDescent="0.2">
      <c r="A46" t="s">
        <v>420</v>
      </c>
      <c r="B46" s="40">
        <v>141.69813366833225</v>
      </c>
    </row>
    <row r="47" spans="1:10" x14ac:dyDescent="0.2">
      <c r="A47" t="s">
        <v>421</v>
      </c>
      <c r="B47" s="40">
        <v>135.55327879523372</v>
      </c>
    </row>
    <row r="48" spans="1:10" x14ac:dyDescent="0.2">
      <c r="A48" t="s">
        <v>422</v>
      </c>
      <c r="B48" s="40">
        <v>139.1110559197086</v>
      </c>
    </row>
    <row r="49" spans="1:2" x14ac:dyDescent="0.2">
      <c r="A49" t="s">
        <v>423</v>
      </c>
      <c r="B49" s="40">
        <v>140.98699505583983</v>
      </c>
    </row>
  </sheetData>
  <sortState xmlns:xlrd2="http://schemas.microsoft.com/office/spreadsheetml/2017/richdata2" ref="A14:B44">
    <sortCondition ref="A14:A44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rgb="FF0070C0"/>
  </sheetPr>
  <dimension ref="A1:G37"/>
  <sheetViews>
    <sheetView workbookViewId="0"/>
  </sheetViews>
  <sheetFormatPr baseColWidth="10" defaultColWidth="11" defaultRowHeight="16" x14ac:dyDescent="0.2"/>
  <cols>
    <col min="1" max="1" width="10.5" bestFit="1" customWidth="1"/>
    <col min="2" max="2" width="47" bestFit="1" customWidth="1"/>
    <col min="3" max="3" width="23.33203125" customWidth="1"/>
    <col min="4" max="4" width="27.5" customWidth="1"/>
    <col min="5" max="5" width="26.5" customWidth="1"/>
    <col min="6" max="6" width="33.6640625" customWidth="1"/>
    <col min="7" max="7" width="40.6640625" customWidth="1"/>
  </cols>
  <sheetData>
    <row r="1" spans="1:7" ht="17" x14ac:dyDescent="0.25">
      <c r="A1" s="9" t="s">
        <v>92</v>
      </c>
      <c r="B1" s="8" t="s">
        <v>93</v>
      </c>
      <c r="C1" s="8" t="s">
        <v>94</v>
      </c>
      <c r="D1" s="8" t="s">
        <v>95</v>
      </c>
      <c r="E1" s="8" t="s">
        <v>96</v>
      </c>
      <c r="F1" s="8" t="s">
        <v>97</v>
      </c>
      <c r="G1" s="8" t="s">
        <v>98</v>
      </c>
    </row>
    <row r="2" spans="1:7" ht="18" x14ac:dyDescent="0.25">
      <c r="A2" s="10">
        <v>0</v>
      </c>
      <c r="B2" s="11" t="s">
        <v>21</v>
      </c>
      <c r="C2" s="11" t="s">
        <v>21</v>
      </c>
      <c r="D2" s="11" t="s">
        <v>21</v>
      </c>
      <c r="E2" s="11" t="s">
        <v>21</v>
      </c>
      <c r="F2" s="11" t="s">
        <v>21</v>
      </c>
      <c r="G2" s="11" t="s">
        <v>21</v>
      </c>
    </row>
    <row r="3" spans="1:7" ht="52" x14ac:dyDescent="0.25">
      <c r="A3" s="10">
        <v>1</v>
      </c>
      <c r="B3" s="11" t="s">
        <v>22</v>
      </c>
      <c r="C3" s="11" t="s">
        <v>36</v>
      </c>
      <c r="D3" s="11" t="s">
        <v>42</v>
      </c>
      <c r="E3" s="11" t="s">
        <v>49</v>
      </c>
      <c r="F3" s="11" t="s">
        <v>99</v>
      </c>
      <c r="G3" s="11" t="s">
        <v>60</v>
      </c>
    </row>
    <row r="4" spans="1:7" ht="35" x14ac:dyDescent="0.25">
      <c r="A4" s="10">
        <v>2</v>
      </c>
      <c r="B4" s="11" t="s">
        <v>23</v>
      </c>
      <c r="C4" s="11" t="s">
        <v>37</v>
      </c>
      <c r="D4" s="11" t="s">
        <v>43</v>
      </c>
      <c r="E4" s="11" t="s">
        <v>50</v>
      </c>
      <c r="F4" s="11" t="s">
        <v>57</v>
      </c>
      <c r="G4" s="11" t="s">
        <v>61</v>
      </c>
    </row>
    <row r="5" spans="1:7" ht="35" x14ac:dyDescent="0.25">
      <c r="A5" s="10">
        <v>3</v>
      </c>
      <c r="B5" s="11" t="s">
        <v>24</v>
      </c>
      <c r="C5" s="11" t="s">
        <v>38</v>
      </c>
      <c r="D5" s="11" t="s">
        <v>44</v>
      </c>
      <c r="E5" s="11" t="s">
        <v>51</v>
      </c>
      <c r="F5" s="11" t="s">
        <v>44</v>
      </c>
      <c r="G5" s="11" t="s">
        <v>62</v>
      </c>
    </row>
    <row r="6" spans="1:7" ht="35" x14ac:dyDescent="0.25">
      <c r="A6" s="10">
        <v>4</v>
      </c>
      <c r="B6" s="11" t="s">
        <v>25</v>
      </c>
      <c r="C6" s="11" t="s">
        <v>39</v>
      </c>
      <c r="D6" s="11" t="s">
        <v>45</v>
      </c>
      <c r="E6" s="11" t="s">
        <v>52</v>
      </c>
      <c r="F6" s="11" t="s">
        <v>45</v>
      </c>
      <c r="G6" s="11" t="s">
        <v>63</v>
      </c>
    </row>
    <row r="7" spans="1:7" ht="35" x14ac:dyDescent="0.25">
      <c r="A7" s="10">
        <v>5</v>
      </c>
      <c r="B7" s="11" t="s">
        <v>26</v>
      </c>
      <c r="C7" s="11" t="s">
        <v>40</v>
      </c>
      <c r="D7" s="11" t="s">
        <v>46</v>
      </c>
      <c r="E7" s="11" t="s">
        <v>53</v>
      </c>
      <c r="F7" s="11" t="s">
        <v>46</v>
      </c>
      <c r="G7" s="11" t="s">
        <v>35</v>
      </c>
    </row>
    <row r="8" spans="1:7" ht="35" x14ac:dyDescent="0.25">
      <c r="A8" s="10">
        <v>6</v>
      </c>
      <c r="B8" s="11" t="s">
        <v>27</v>
      </c>
      <c r="C8" s="11" t="s">
        <v>41</v>
      </c>
      <c r="D8" s="11" t="s">
        <v>47</v>
      </c>
      <c r="E8" s="11" t="s">
        <v>54</v>
      </c>
      <c r="F8" s="11" t="s">
        <v>58</v>
      </c>
      <c r="G8" s="11" t="s">
        <v>35</v>
      </c>
    </row>
    <row r="9" spans="1:7" ht="35" x14ac:dyDescent="0.25">
      <c r="A9" s="10">
        <v>7</v>
      </c>
      <c r="B9" s="11" t="s">
        <v>28</v>
      </c>
      <c r="C9" s="11" t="s">
        <v>35</v>
      </c>
      <c r="D9" s="11" t="s">
        <v>48</v>
      </c>
      <c r="E9" s="11" t="s">
        <v>55</v>
      </c>
      <c r="F9" s="11" t="s">
        <v>59</v>
      </c>
      <c r="G9" s="11" t="s">
        <v>35</v>
      </c>
    </row>
    <row r="10" spans="1:7" ht="18" x14ac:dyDescent="0.25">
      <c r="A10" s="10">
        <v>8</v>
      </c>
      <c r="B10" s="11" t="s">
        <v>29</v>
      </c>
      <c r="C10" s="11" t="s">
        <v>35</v>
      </c>
      <c r="D10" s="11" t="s">
        <v>35</v>
      </c>
      <c r="E10" s="11" t="s">
        <v>35</v>
      </c>
      <c r="F10" s="11" t="s">
        <v>35</v>
      </c>
      <c r="G10" s="11" t="s">
        <v>35</v>
      </c>
    </row>
    <row r="11" spans="1:7" ht="35" x14ac:dyDescent="0.25">
      <c r="A11" s="10">
        <v>9</v>
      </c>
      <c r="B11" s="11" t="s">
        <v>30</v>
      </c>
      <c r="C11" s="11" t="s">
        <v>35</v>
      </c>
      <c r="D11" s="11" t="s">
        <v>35</v>
      </c>
      <c r="E11" s="11" t="s">
        <v>56</v>
      </c>
      <c r="F11" s="11" t="s">
        <v>35</v>
      </c>
      <c r="G11" s="11" t="s">
        <v>35</v>
      </c>
    </row>
    <row r="12" spans="1:7" ht="18" x14ac:dyDescent="0.25">
      <c r="A12" s="10">
        <v>10</v>
      </c>
      <c r="B12" s="11" t="s">
        <v>31</v>
      </c>
      <c r="C12" s="11" t="s">
        <v>35</v>
      </c>
      <c r="D12" s="11" t="s">
        <v>35</v>
      </c>
      <c r="E12" s="11" t="s">
        <v>35</v>
      </c>
      <c r="F12" s="11" t="s">
        <v>35</v>
      </c>
      <c r="G12" s="11" t="s">
        <v>35</v>
      </c>
    </row>
    <row r="13" spans="1:7" ht="18" x14ac:dyDescent="0.25">
      <c r="A13" s="10">
        <v>11</v>
      </c>
      <c r="B13" s="11" t="s">
        <v>32</v>
      </c>
      <c r="C13" s="11" t="s">
        <v>35</v>
      </c>
      <c r="D13" s="11" t="s">
        <v>35</v>
      </c>
      <c r="E13" s="11" t="s">
        <v>35</v>
      </c>
      <c r="F13" s="11" t="s">
        <v>35</v>
      </c>
      <c r="G13" s="11" t="s">
        <v>35</v>
      </c>
    </row>
    <row r="14" spans="1:7" ht="18" x14ac:dyDescent="0.25">
      <c r="A14" s="10">
        <v>12</v>
      </c>
      <c r="B14" s="11" t="s">
        <v>33</v>
      </c>
      <c r="C14" s="11" t="s">
        <v>35</v>
      </c>
      <c r="D14" s="11" t="s">
        <v>35</v>
      </c>
      <c r="E14" s="11" t="s">
        <v>35</v>
      </c>
      <c r="F14" s="11" t="s">
        <v>35</v>
      </c>
      <c r="G14" s="11" t="s">
        <v>35</v>
      </c>
    </row>
    <row r="15" spans="1:7" ht="18" x14ac:dyDescent="0.25">
      <c r="A15" s="10">
        <v>13</v>
      </c>
      <c r="B15" s="11" t="s">
        <v>34</v>
      </c>
      <c r="C15" s="11" t="s">
        <v>35</v>
      </c>
      <c r="D15" s="11" t="s">
        <v>35</v>
      </c>
      <c r="E15" s="11" t="s">
        <v>35</v>
      </c>
      <c r="F15" s="11" t="s">
        <v>35</v>
      </c>
      <c r="G15" s="11" t="s">
        <v>35</v>
      </c>
    </row>
    <row r="16" spans="1:7" ht="18" x14ac:dyDescent="0.25">
      <c r="A16" s="10">
        <v>14</v>
      </c>
      <c r="B16" s="11" t="s">
        <v>35</v>
      </c>
      <c r="C16" s="11" t="s">
        <v>35</v>
      </c>
      <c r="D16" s="11" t="s">
        <v>35</v>
      </c>
      <c r="E16" s="11" t="s">
        <v>35</v>
      </c>
      <c r="F16" s="11" t="s">
        <v>35</v>
      </c>
      <c r="G16" s="11" t="s">
        <v>35</v>
      </c>
    </row>
    <row r="17" spans="1:7" ht="18" x14ac:dyDescent="0.25">
      <c r="A17" s="10">
        <v>15</v>
      </c>
      <c r="B17" s="11" t="s">
        <v>35</v>
      </c>
      <c r="C17" s="11" t="s">
        <v>35</v>
      </c>
      <c r="D17" s="11" t="s">
        <v>35</v>
      </c>
      <c r="E17" s="11" t="s">
        <v>35</v>
      </c>
      <c r="F17" s="11" t="s">
        <v>35</v>
      </c>
      <c r="G17" s="11" t="s">
        <v>35</v>
      </c>
    </row>
    <row r="21" spans="1:7" ht="17" x14ac:dyDescent="0.25">
      <c r="A21" s="4"/>
    </row>
    <row r="22" spans="1:7" ht="17" x14ac:dyDescent="0.25">
      <c r="A22" s="4"/>
    </row>
    <row r="23" spans="1:7" ht="17" x14ac:dyDescent="0.25">
      <c r="A23" s="4"/>
    </row>
    <row r="24" spans="1:7" ht="17" x14ac:dyDescent="0.25">
      <c r="A24" s="4"/>
    </row>
    <row r="25" spans="1:7" ht="17" x14ac:dyDescent="0.25">
      <c r="A25" s="4"/>
    </row>
    <row r="26" spans="1:7" ht="17" x14ac:dyDescent="0.25">
      <c r="A26" s="4"/>
    </row>
    <row r="27" spans="1:7" ht="17" x14ac:dyDescent="0.25">
      <c r="A27" s="4"/>
    </row>
    <row r="28" spans="1:7" ht="17" x14ac:dyDescent="0.25">
      <c r="A28" s="4"/>
    </row>
    <row r="29" spans="1:7" ht="17" x14ac:dyDescent="0.25">
      <c r="A29" s="4"/>
    </row>
    <row r="30" spans="1:7" ht="17" x14ac:dyDescent="0.25">
      <c r="A30" s="4"/>
    </row>
    <row r="31" spans="1:7" ht="17" x14ac:dyDescent="0.25">
      <c r="A31" s="4"/>
    </row>
    <row r="32" spans="1:7" ht="17" x14ac:dyDescent="0.25">
      <c r="A32" s="4"/>
    </row>
    <row r="33" spans="1:1" ht="17" x14ac:dyDescent="0.25">
      <c r="A33" s="4"/>
    </row>
    <row r="34" spans="1:1" ht="17" x14ac:dyDescent="0.25">
      <c r="A34" s="4"/>
    </row>
    <row r="35" spans="1:1" ht="17" x14ac:dyDescent="0.25">
      <c r="A35" s="4"/>
    </row>
    <row r="36" spans="1:1" ht="17" x14ac:dyDescent="0.25">
      <c r="A36" s="4"/>
    </row>
    <row r="37" spans="1:1" ht="17" x14ac:dyDescent="0.25">
      <c r="A37" s="4"/>
    </row>
  </sheetData>
  <sheetProtection algorithmName="SHA-512" hashValue="3JaYipnvlz5xjzo1MF5FAXVO+yfYk5ky3UY+gp0r8dL6Ldu5BEA57DKAwFDnUpz/YHtJ/nJBdx+tGL19Gl28qg==" saltValue="BKyhebrvA5oLM7s+B4A/q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>
    <tabColor rgb="FF0070C0"/>
  </sheetPr>
  <dimension ref="A1:A34"/>
  <sheetViews>
    <sheetView workbookViewId="0"/>
  </sheetViews>
  <sheetFormatPr baseColWidth="10" defaultRowHeight="16" x14ac:dyDescent="0.2"/>
  <cols>
    <col min="1" max="1" width="12.5" bestFit="1" customWidth="1"/>
  </cols>
  <sheetData>
    <row r="1" spans="1:1" x14ac:dyDescent="0.2">
      <c r="A1" t="s">
        <v>64</v>
      </c>
    </row>
    <row r="2" spans="1:1" x14ac:dyDescent="0.2">
      <c r="A2">
        <v>1</v>
      </c>
    </row>
    <row r="3" spans="1:1" x14ac:dyDescent="0.2">
      <c r="A3">
        <v>2</v>
      </c>
    </row>
    <row r="4" spans="1:1" x14ac:dyDescent="0.2">
      <c r="A4">
        <v>3</v>
      </c>
    </row>
    <row r="5" spans="1:1" x14ac:dyDescent="0.2">
      <c r="A5">
        <v>4</v>
      </c>
    </row>
    <row r="6" spans="1:1" x14ac:dyDescent="0.2">
      <c r="A6">
        <v>5</v>
      </c>
    </row>
    <row r="7" spans="1:1" x14ac:dyDescent="0.2">
      <c r="A7">
        <v>6</v>
      </c>
    </row>
    <row r="8" spans="1:1" x14ac:dyDescent="0.2">
      <c r="A8">
        <v>7</v>
      </c>
    </row>
    <row r="9" spans="1:1" x14ac:dyDescent="0.2">
      <c r="A9">
        <v>8</v>
      </c>
    </row>
    <row r="10" spans="1:1" x14ac:dyDescent="0.2">
      <c r="A10">
        <v>9</v>
      </c>
    </row>
    <row r="11" spans="1:1" x14ac:dyDescent="0.2">
      <c r="A11">
        <v>10</v>
      </c>
    </row>
    <row r="12" spans="1:1" x14ac:dyDescent="0.2">
      <c r="A12">
        <v>11</v>
      </c>
    </row>
    <row r="13" spans="1:1" x14ac:dyDescent="0.2">
      <c r="A13">
        <v>12</v>
      </c>
    </row>
    <row r="14" spans="1:1" x14ac:dyDescent="0.2">
      <c r="A14">
        <v>13</v>
      </c>
    </row>
    <row r="15" spans="1:1" x14ac:dyDescent="0.2">
      <c r="A15">
        <v>14</v>
      </c>
    </row>
    <row r="16" spans="1:1" x14ac:dyDescent="0.2">
      <c r="A16">
        <v>15</v>
      </c>
    </row>
    <row r="17" spans="1:1" x14ac:dyDescent="0.2">
      <c r="A17">
        <v>16</v>
      </c>
    </row>
    <row r="18" spans="1:1" x14ac:dyDescent="0.2">
      <c r="A18">
        <v>17</v>
      </c>
    </row>
    <row r="19" spans="1:1" x14ac:dyDescent="0.2">
      <c r="A19">
        <v>18</v>
      </c>
    </row>
    <row r="20" spans="1:1" x14ac:dyDescent="0.2">
      <c r="A20">
        <v>19</v>
      </c>
    </row>
    <row r="21" spans="1:1" x14ac:dyDescent="0.2">
      <c r="A21">
        <v>20</v>
      </c>
    </row>
    <row r="22" spans="1:1" x14ac:dyDescent="0.2">
      <c r="A22">
        <v>21</v>
      </c>
    </row>
    <row r="23" spans="1:1" x14ac:dyDescent="0.2">
      <c r="A23">
        <v>22</v>
      </c>
    </row>
    <row r="24" spans="1:1" x14ac:dyDescent="0.2">
      <c r="A24">
        <v>23</v>
      </c>
    </row>
    <row r="25" spans="1:1" x14ac:dyDescent="0.2">
      <c r="A25">
        <v>24</v>
      </c>
    </row>
    <row r="26" spans="1:1" x14ac:dyDescent="0.2">
      <c r="A26" t="s">
        <v>100</v>
      </c>
    </row>
    <row r="27" spans="1:1" x14ac:dyDescent="0.2">
      <c r="A27" t="s">
        <v>101</v>
      </c>
    </row>
    <row r="28" spans="1:1" x14ac:dyDescent="0.2">
      <c r="A28" t="s">
        <v>102</v>
      </c>
    </row>
    <row r="29" spans="1:1" x14ac:dyDescent="0.2">
      <c r="A29" t="s">
        <v>103</v>
      </c>
    </row>
    <row r="30" spans="1:1" x14ac:dyDescent="0.2">
      <c r="A30" t="s">
        <v>134</v>
      </c>
    </row>
    <row r="31" spans="1:1" x14ac:dyDescent="0.2">
      <c r="A31" t="s">
        <v>135</v>
      </c>
    </row>
    <row r="32" spans="1:1" x14ac:dyDescent="0.2">
      <c r="A32" t="s">
        <v>136</v>
      </c>
    </row>
    <row r="33" spans="1:1" x14ac:dyDescent="0.2">
      <c r="A33" t="s">
        <v>137</v>
      </c>
    </row>
    <row r="34" spans="1:1" x14ac:dyDescent="0.2">
      <c r="A34" t="s">
        <v>153</v>
      </c>
    </row>
  </sheetData>
  <sheetProtection algorithmName="SHA-512" hashValue="ebomsgX8zaMkVZjvUXdaQEanHvhKvMc8QBivC4OUweKvDxBh8FeC8BDFkNJ16bYI22beXHwFcHNTPvmjQRUlmg==" saltValue="R5F6LNRpinhlKdIcsdolvQ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0070C0"/>
  </sheetPr>
  <dimension ref="A1:A56"/>
  <sheetViews>
    <sheetView workbookViewId="0"/>
  </sheetViews>
  <sheetFormatPr baseColWidth="10" defaultRowHeight="16" x14ac:dyDescent="0.2"/>
  <cols>
    <col min="1" max="1" width="66" bestFit="1" customWidth="1"/>
    <col min="2" max="2" width="64" bestFit="1" customWidth="1"/>
  </cols>
  <sheetData>
    <row r="1" spans="1:1" x14ac:dyDescent="0.2">
      <c r="A1" t="s">
        <v>72</v>
      </c>
    </row>
    <row r="2" spans="1:1" x14ac:dyDescent="0.2">
      <c r="A2" t="s">
        <v>205</v>
      </c>
    </row>
    <row r="3" spans="1:1" x14ac:dyDescent="0.2">
      <c r="A3" t="s">
        <v>179</v>
      </c>
    </row>
    <row r="4" spans="1:1" x14ac:dyDescent="0.2">
      <c r="A4" t="s">
        <v>176</v>
      </c>
    </row>
    <row r="5" spans="1:1" x14ac:dyDescent="0.2">
      <c r="A5" t="s">
        <v>73</v>
      </c>
    </row>
    <row r="6" spans="1:1" x14ac:dyDescent="0.2">
      <c r="A6" t="s">
        <v>71</v>
      </c>
    </row>
    <row r="7" spans="1:1" x14ac:dyDescent="0.2">
      <c r="A7" t="s">
        <v>174</v>
      </c>
    </row>
    <row r="8" spans="1:1" x14ac:dyDescent="0.2">
      <c r="A8" t="s">
        <v>183</v>
      </c>
    </row>
    <row r="9" spans="1:1" x14ac:dyDescent="0.2">
      <c r="A9" t="s">
        <v>182</v>
      </c>
    </row>
    <row r="10" spans="1:1" x14ac:dyDescent="0.2">
      <c r="A10" t="s">
        <v>177</v>
      </c>
    </row>
    <row r="11" spans="1:1" x14ac:dyDescent="0.2">
      <c r="A11" t="s">
        <v>178</v>
      </c>
    </row>
    <row r="12" spans="1:1" x14ac:dyDescent="0.2">
      <c r="A12" t="s">
        <v>180</v>
      </c>
    </row>
    <row r="13" spans="1:1" x14ac:dyDescent="0.2">
      <c r="A13" t="s">
        <v>175</v>
      </c>
    </row>
    <row r="14" spans="1:1" x14ac:dyDescent="0.2">
      <c r="A14" t="s">
        <v>206</v>
      </c>
    </row>
    <row r="15" spans="1:1" x14ac:dyDescent="0.2">
      <c r="A15" t="s">
        <v>231</v>
      </c>
    </row>
    <row r="16" spans="1:1" x14ac:dyDescent="0.2">
      <c r="A16" t="s">
        <v>181</v>
      </c>
    </row>
    <row r="17" spans="1:1" x14ac:dyDescent="0.2">
      <c r="A17" t="s">
        <v>234</v>
      </c>
    </row>
    <row r="18" spans="1:1" x14ac:dyDescent="0.2">
      <c r="A18" t="s">
        <v>237</v>
      </c>
    </row>
    <row r="19" spans="1:1" x14ac:dyDescent="0.2">
      <c r="A19" t="s">
        <v>238</v>
      </c>
    </row>
    <row r="20" spans="1:1" x14ac:dyDescent="0.2">
      <c r="A20" t="s">
        <v>248</v>
      </c>
    </row>
    <row r="21" spans="1:1" x14ac:dyDescent="0.2">
      <c r="A21" t="s">
        <v>172</v>
      </c>
    </row>
    <row r="22" spans="1:1" x14ac:dyDescent="0.2">
      <c r="A22" t="s">
        <v>244</v>
      </c>
    </row>
    <row r="23" spans="1:1" x14ac:dyDescent="0.2">
      <c r="A23" t="s">
        <v>207</v>
      </c>
    </row>
    <row r="24" spans="1:1" x14ac:dyDescent="0.2">
      <c r="A24" t="s">
        <v>74</v>
      </c>
    </row>
    <row r="25" spans="1:1" x14ac:dyDescent="0.2">
      <c r="A25" t="s">
        <v>191</v>
      </c>
    </row>
    <row r="26" spans="1:1" x14ac:dyDescent="0.2">
      <c r="A26" t="s">
        <v>190</v>
      </c>
    </row>
    <row r="27" spans="1:1" x14ac:dyDescent="0.2">
      <c r="A27" t="s">
        <v>186</v>
      </c>
    </row>
    <row r="28" spans="1:1" x14ac:dyDescent="0.2">
      <c r="A28" t="s">
        <v>187</v>
      </c>
    </row>
    <row r="29" spans="1:1" x14ac:dyDescent="0.2">
      <c r="A29" t="s">
        <v>75</v>
      </c>
    </row>
    <row r="30" spans="1:1" x14ac:dyDescent="0.2">
      <c r="A30" t="s">
        <v>185</v>
      </c>
    </row>
    <row r="31" spans="1:1" x14ac:dyDescent="0.2">
      <c r="A31" t="s">
        <v>189</v>
      </c>
    </row>
    <row r="32" spans="1:1" x14ac:dyDescent="0.2">
      <c r="A32" t="s">
        <v>184</v>
      </c>
    </row>
    <row r="33" spans="1:1" x14ac:dyDescent="0.2">
      <c r="A33" t="s">
        <v>188</v>
      </c>
    </row>
    <row r="34" spans="1:1" x14ac:dyDescent="0.2">
      <c r="A34" t="s">
        <v>173</v>
      </c>
    </row>
    <row r="35" spans="1:1" x14ac:dyDescent="0.2">
      <c r="A35" t="s">
        <v>192</v>
      </c>
    </row>
    <row r="36" spans="1:1" x14ac:dyDescent="0.2">
      <c r="A36" t="s">
        <v>208</v>
      </c>
    </row>
    <row r="37" spans="1:1" x14ac:dyDescent="0.2">
      <c r="A37" t="s">
        <v>209</v>
      </c>
    </row>
    <row r="38" spans="1:1" x14ac:dyDescent="0.2">
      <c r="A38" t="s">
        <v>210</v>
      </c>
    </row>
    <row r="39" spans="1:1" x14ac:dyDescent="0.2">
      <c r="A39" t="s">
        <v>77</v>
      </c>
    </row>
    <row r="40" spans="1:1" x14ac:dyDescent="0.2">
      <c r="A40" t="s">
        <v>203</v>
      </c>
    </row>
    <row r="41" spans="1:1" x14ac:dyDescent="0.2">
      <c r="A41" t="s">
        <v>197</v>
      </c>
    </row>
    <row r="42" spans="1:1" x14ac:dyDescent="0.2">
      <c r="A42" t="s">
        <v>228</v>
      </c>
    </row>
    <row r="43" spans="1:1" x14ac:dyDescent="0.2">
      <c r="A43" t="s">
        <v>199</v>
      </c>
    </row>
    <row r="44" spans="1:1" x14ac:dyDescent="0.2">
      <c r="A44" t="s">
        <v>198</v>
      </c>
    </row>
    <row r="45" spans="1:1" x14ac:dyDescent="0.2">
      <c r="A45" t="s">
        <v>201</v>
      </c>
    </row>
    <row r="46" spans="1:1" x14ac:dyDescent="0.2">
      <c r="A46" t="s">
        <v>76</v>
      </c>
    </row>
    <row r="47" spans="1:1" x14ac:dyDescent="0.2">
      <c r="A47" t="s">
        <v>196</v>
      </c>
    </row>
    <row r="48" spans="1:1" x14ac:dyDescent="0.2">
      <c r="A48" t="s">
        <v>194</v>
      </c>
    </row>
    <row r="49" spans="1:1" x14ac:dyDescent="0.2">
      <c r="A49" t="s">
        <v>202</v>
      </c>
    </row>
    <row r="50" spans="1:1" x14ac:dyDescent="0.2">
      <c r="A50" t="s">
        <v>200</v>
      </c>
    </row>
    <row r="51" spans="1:1" x14ac:dyDescent="0.2">
      <c r="A51" t="s">
        <v>193</v>
      </c>
    </row>
    <row r="52" spans="1:1" x14ac:dyDescent="0.2">
      <c r="A52" t="s">
        <v>195</v>
      </c>
    </row>
    <row r="53" spans="1:1" x14ac:dyDescent="0.2">
      <c r="A53" t="s">
        <v>236</v>
      </c>
    </row>
    <row r="54" spans="1:1" x14ac:dyDescent="0.2">
      <c r="A54" t="s">
        <v>78</v>
      </c>
    </row>
    <row r="55" spans="1:1" x14ac:dyDescent="0.2">
      <c r="A55" t="s">
        <v>211</v>
      </c>
    </row>
    <row r="56" spans="1:1" x14ac:dyDescent="0.2">
      <c r="A56" t="s">
        <v>204</v>
      </c>
    </row>
  </sheetData>
  <sheetProtection algorithmName="SHA-512" hashValue="1BBBEdd2yRQa9x/3jWzbKmPL0Y4p+ds2GstxcFwLMxoZl7bMuxIiIq5v08Xcu+wEMwaYtAZKtY7id4NwU1w3jQ==" saltValue="Mqn3mb6giBn2KkfQWMjU3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0070C0"/>
  </sheetPr>
  <dimension ref="A1:A24"/>
  <sheetViews>
    <sheetView workbookViewId="0"/>
  </sheetViews>
  <sheetFormatPr baseColWidth="10" defaultRowHeight="16" x14ac:dyDescent="0.2"/>
  <sheetData>
    <row r="1" spans="1:1" x14ac:dyDescent="0.2">
      <c r="A1" t="s">
        <v>79</v>
      </c>
    </row>
    <row r="2" spans="1:1" x14ac:dyDescent="0.2">
      <c r="A2" t="s">
        <v>151</v>
      </c>
    </row>
    <row r="3" spans="1:1" x14ac:dyDescent="0.2">
      <c r="A3" t="s">
        <v>80</v>
      </c>
    </row>
    <row r="4" spans="1:1" x14ac:dyDescent="0.2">
      <c r="A4" t="s">
        <v>81</v>
      </c>
    </row>
    <row r="5" spans="1:1" x14ac:dyDescent="0.2">
      <c r="A5" t="s">
        <v>82</v>
      </c>
    </row>
    <row r="6" spans="1:1" x14ac:dyDescent="0.2">
      <c r="A6" t="s">
        <v>243</v>
      </c>
    </row>
    <row r="7" spans="1:1" x14ac:dyDescent="0.2">
      <c r="A7" t="s">
        <v>229</v>
      </c>
    </row>
    <row r="8" spans="1:1" x14ac:dyDescent="0.2">
      <c r="A8" t="s">
        <v>232</v>
      </c>
    </row>
    <row r="9" spans="1:1" x14ac:dyDescent="0.2">
      <c r="A9" t="s">
        <v>239</v>
      </c>
    </row>
    <row r="10" spans="1:1" x14ac:dyDescent="0.2">
      <c r="A10" t="s">
        <v>240</v>
      </c>
    </row>
    <row r="11" spans="1:1" x14ac:dyDescent="0.2">
      <c r="A11" t="s">
        <v>241</v>
      </c>
    </row>
    <row r="12" spans="1:1" x14ac:dyDescent="0.2">
      <c r="A12" t="s">
        <v>245</v>
      </c>
    </row>
    <row r="13" spans="1:1" x14ac:dyDescent="0.2">
      <c r="A13" t="s">
        <v>230</v>
      </c>
    </row>
    <row r="14" spans="1:1" x14ac:dyDescent="0.2">
      <c r="A14" t="s">
        <v>233</v>
      </c>
    </row>
    <row r="15" spans="1:1" x14ac:dyDescent="0.2">
      <c r="A15" t="s">
        <v>139</v>
      </c>
    </row>
    <row r="16" spans="1:1" x14ac:dyDescent="0.2">
      <c r="A16" t="s">
        <v>83</v>
      </c>
    </row>
    <row r="17" spans="1:1" x14ac:dyDescent="0.2">
      <c r="A17" t="s">
        <v>84</v>
      </c>
    </row>
    <row r="18" spans="1:1" x14ac:dyDescent="0.2">
      <c r="A18" t="s">
        <v>85</v>
      </c>
    </row>
    <row r="19" spans="1:1" x14ac:dyDescent="0.2">
      <c r="A19" t="s">
        <v>86</v>
      </c>
    </row>
    <row r="20" spans="1:1" x14ac:dyDescent="0.2">
      <c r="A20" t="s">
        <v>87</v>
      </c>
    </row>
    <row r="21" spans="1:1" x14ac:dyDescent="0.2">
      <c r="A21" t="s">
        <v>20</v>
      </c>
    </row>
    <row r="22" spans="1:1" x14ac:dyDescent="0.2">
      <c r="A22" t="s">
        <v>88</v>
      </c>
    </row>
    <row r="23" spans="1:1" x14ac:dyDescent="0.2">
      <c r="A23" t="s">
        <v>138</v>
      </c>
    </row>
    <row r="24" spans="1:1" x14ac:dyDescent="0.2">
      <c r="A24" t="s">
        <v>249</v>
      </c>
    </row>
  </sheetData>
  <sheetProtection algorithmName="SHA-512" hashValue="wZQyXYI9XYOjlfstVmFrTyLpr1ax8wEc5yjhUfHhI331sSt5d8od4IA9u/SrfxfezVDtwyp7R4YP++gtIoGqWQ==" saltValue="Tht7m9OdrY1UpM+uOqy7cw==" spinCount="100000" sheet="1" objects="1" scenarios="1"/>
  <sortState xmlns:xlrd2="http://schemas.microsoft.com/office/spreadsheetml/2017/richdata2" ref="A1:A18">
    <sortCondition ref="A1:A18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README</vt:lpstr>
      <vt:lpstr>CastList</vt:lpstr>
      <vt:lpstr>CastLog_ROV</vt:lpstr>
      <vt:lpstr>SampleList</vt:lpstr>
      <vt:lpstr>OxygenLog_all</vt:lpstr>
      <vt:lpstr>ChloroLog_all</vt:lpstr>
      <vt:lpstr>CTDflags</vt:lpstr>
      <vt:lpstr>CTDflags_ROV</vt:lpstr>
      <vt:lpstr>++OxygenParameters++</vt:lpstr>
      <vt:lpstr>_Flags_</vt:lpstr>
      <vt:lpstr>_NiskinBottles_</vt:lpstr>
      <vt:lpstr>  _Stations_  </vt:lpstr>
      <vt:lpstr>_TargetAssets_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Wendi Ruef</dc:creator>
  <cp:lastModifiedBy>Wendi M. Ruef</cp:lastModifiedBy>
  <cp:lastPrinted>2019-05-28T21:23:02Z</cp:lastPrinted>
  <dcterms:created xsi:type="dcterms:W3CDTF">2019-03-04T15:33:15Z</dcterms:created>
  <dcterms:modified xsi:type="dcterms:W3CDTF">2026-08-25T19:15:17Z</dcterms:modified>
</cp:coreProperties>
</file>