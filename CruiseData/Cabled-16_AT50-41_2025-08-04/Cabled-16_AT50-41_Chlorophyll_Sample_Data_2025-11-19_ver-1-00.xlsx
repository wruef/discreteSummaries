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jBqPSjMP+nw1IL+O3sDkZ6KV1LB78hWhy1CWeUmgRU="/>
    </ext>
  </extLst>
</workbook>
</file>

<file path=xl/sharedStrings.xml><?xml version="1.0" encoding="utf-8"?>
<sst xmlns="http://schemas.openxmlformats.org/spreadsheetml/2006/main" count="27" uniqueCount="26">
  <si>
    <t>Chlorophyll Sample Analyses, Turner Model TD700 Fluorometer</t>
  </si>
  <si>
    <t>Multi-Optional Raw Fluorescence Mode</t>
  </si>
  <si>
    <t>Date</t>
  </si>
  <si>
    <t>11/19/2025 10:50-15:07 PST</t>
  </si>
  <si>
    <t>Analyst</t>
  </si>
  <si>
    <t>Jolee Thirtyacre</t>
  </si>
  <si>
    <t>Fo/Fa (Fm)</t>
  </si>
  <si>
    <t>K</t>
  </si>
  <si>
    <t>Sample ID</t>
  </si>
  <si>
    <t>Fo</t>
  </si>
  <si>
    <t>Fa</t>
  </si>
  <si>
    <t>Ex</t>
  </si>
  <si>
    <t>Filt</t>
  </si>
  <si>
    <t>DF</t>
  </si>
  <si>
    <t>Chl a (ug/L)</t>
  </si>
  <si>
    <t>Phaopigment (ug/L)</t>
  </si>
  <si>
    <t>Fo/Fa Ratio</t>
  </si>
  <si>
    <t>Standard L</t>
  </si>
  <si>
    <t>Standard H</t>
  </si>
  <si>
    <t>Notes</t>
  </si>
  <si>
    <t>heavy particulate in corning vial, ran Fo twice (36.4, 36.3)</t>
  </si>
  <si>
    <t>small particulate in tube</t>
  </si>
  <si>
    <t>not enough sample to get 3/4 vial, little over 1/2 full (re-decanted)</t>
  </si>
  <si>
    <t>visible green tent, NEED TO DILUTE AND RE-RUN</t>
  </si>
  <si>
    <t>filter flaking apart in corning vial</t>
  </si>
  <si>
    <t>standards ran after this 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</si>
</sst>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"/>
    <numFmt numFmtId="165" formatCode="0.000"/>
    <numFmt numFmtId="166" formatCode="0.0"/>
  </numFmts>
  <fonts count="5">
    <font>
      <sz val="12.0"/>
      <color theme="1"/>
      <name val="Aptos Narrow"/>
      <scheme val="minor"/>
    </font>
    <font>
      <i/>
      <sz val="10.0"/>
      <color theme="1"/>
      <name val="Arial"/>
    </font>
    <font>
      <sz val="10.0"/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</fills>
  <borders count="3">
    <border/>
    <border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2" numFmtId="14" xfId="0" applyFont="1" applyNumberFormat="1"/>
    <xf borderId="0" fillId="0" fontId="3" numFmtId="0" xfId="0" applyFont="1"/>
    <xf borderId="1" fillId="0" fontId="4" numFmtId="0" xfId="0" applyBorder="1" applyFont="1"/>
    <xf borderId="0" fillId="0" fontId="4" numFmtId="165" xfId="0" applyFont="1" applyNumberFormat="1"/>
    <xf borderId="0" fillId="0" fontId="4" numFmtId="166" xfId="0" applyFont="1" applyNumberFormat="1"/>
    <xf borderId="2" fillId="2" fontId="4" numFmtId="0" xfId="0" applyBorder="1" applyFill="1" applyFont="1"/>
    <xf borderId="2" fillId="2" fontId="4" numFmtId="165" xfId="0" applyBorder="1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11.11"/>
    <col customWidth="1" min="9" max="9" width="11.67"/>
    <col customWidth="1" min="10" max="11" width="11.11"/>
    <col customWidth="1" min="12" max="12" width="12.67"/>
    <col customWidth="1" min="13" max="33" width="11.11"/>
  </cols>
  <sheetData>
    <row r="1" ht="15.75" customHeight="1">
      <c r="A1" s="1" t="s">
        <v>0</v>
      </c>
      <c r="B1" s="2"/>
      <c r="C1" s="3"/>
      <c r="D1" s="3"/>
      <c r="E1" s="3"/>
      <c r="F1" s="2" t="s">
        <v>1</v>
      </c>
      <c r="G1" s="2"/>
      <c r="H1" s="2"/>
      <c r="I1" s="1"/>
      <c r="J1" s="2"/>
      <c r="K1" s="3"/>
      <c r="M1" s="3"/>
      <c r="N1" s="2"/>
      <c r="O1" s="2"/>
      <c r="P1" s="2"/>
      <c r="Q1" s="1"/>
      <c r="S1" s="3"/>
      <c r="T1" s="3"/>
      <c r="U1" s="3"/>
      <c r="V1" s="2"/>
      <c r="W1" s="2"/>
      <c r="X1" s="2"/>
      <c r="Y1" s="1"/>
      <c r="Z1" s="2"/>
      <c r="AA1" s="3"/>
      <c r="AB1" s="3"/>
      <c r="AC1" s="3"/>
      <c r="AD1" s="2"/>
      <c r="AE1" s="2"/>
      <c r="AF1" s="2"/>
      <c r="AG1" s="1"/>
    </row>
    <row r="2" ht="15.75" customHeight="1">
      <c r="A2" s="1" t="s">
        <v>2</v>
      </c>
      <c r="B2" s="4" t="s">
        <v>3</v>
      </c>
      <c r="C2" s="3"/>
      <c r="D2" s="3"/>
      <c r="E2" s="3"/>
      <c r="F2" s="2"/>
      <c r="G2" s="2"/>
      <c r="H2" s="2"/>
      <c r="I2" s="1"/>
      <c r="J2" s="2"/>
      <c r="K2" s="3"/>
      <c r="M2" s="3"/>
      <c r="N2" s="2"/>
      <c r="O2" s="2"/>
      <c r="P2" s="2"/>
      <c r="Q2" s="1"/>
      <c r="S2" s="3"/>
      <c r="T2" s="3"/>
      <c r="U2" s="3"/>
      <c r="V2" s="2"/>
      <c r="W2" s="2"/>
      <c r="X2" s="2"/>
      <c r="Y2" s="1"/>
      <c r="Z2" s="2"/>
      <c r="AA2" s="3"/>
      <c r="AB2" s="3"/>
      <c r="AC2" s="3"/>
      <c r="AD2" s="2"/>
      <c r="AE2" s="2"/>
      <c r="AF2" s="2"/>
      <c r="AG2" s="1"/>
    </row>
    <row r="3" ht="15.75" customHeight="1">
      <c r="A3" s="1" t="s">
        <v>4</v>
      </c>
      <c r="B3" s="2" t="s">
        <v>5</v>
      </c>
      <c r="C3" s="3"/>
      <c r="D3" s="3"/>
      <c r="E3" s="3"/>
      <c r="F3" s="2"/>
      <c r="G3" s="2"/>
      <c r="H3" s="2"/>
      <c r="I3" s="1"/>
      <c r="J3" s="2"/>
      <c r="K3" s="3"/>
      <c r="M3" s="3"/>
      <c r="N3" s="2"/>
      <c r="O3" s="2"/>
      <c r="P3" s="2"/>
      <c r="Q3" s="1"/>
      <c r="S3" s="3"/>
      <c r="T3" s="3"/>
      <c r="U3" s="3"/>
      <c r="V3" s="2"/>
      <c r="W3" s="2"/>
      <c r="X3" s="2"/>
      <c r="Y3" s="1"/>
      <c r="Z3" s="2"/>
      <c r="AA3" s="3"/>
      <c r="AB3" s="3"/>
      <c r="AC3" s="3"/>
      <c r="AD3" s="2"/>
      <c r="AE3" s="2"/>
      <c r="AF3" s="2"/>
      <c r="AG3" s="1"/>
    </row>
    <row r="4" ht="15.75" customHeight="1">
      <c r="B4" s="5" t="s">
        <v>6</v>
      </c>
      <c r="C4" s="5">
        <v>1.945829777</v>
      </c>
    </row>
    <row r="5" ht="16.5" customHeight="1">
      <c r="B5" s="5" t="s">
        <v>7</v>
      </c>
      <c r="C5" s="5">
        <v>0.143990395</v>
      </c>
    </row>
    <row r="6" ht="15.75" customHeight="1"/>
    <row r="7" ht="15.75" customHeight="1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/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</row>
    <row r="8" ht="15.75" customHeight="1">
      <c r="A8" s="5">
        <v>1001.0</v>
      </c>
      <c r="B8" s="5">
        <v>453.8</v>
      </c>
      <c r="C8" s="5">
        <v>281.8</v>
      </c>
      <c r="D8" s="5">
        <v>0.01</v>
      </c>
      <c r="E8" s="5">
        <v>0.5</v>
      </c>
      <c r="F8" s="5">
        <v>1.0</v>
      </c>
      <c r="H8" s="7">
        <f t="shared" ref="H8:H57" si="1">($C$5*($C$4/($C$4-1))*(B8-C8)*(D8/E8)*F8)</f>
        <v>1.019022629</v>
      </c>
      <c r="I8" s="7">
        <f t="shared" ref="I8:I57" si="2"> $C$5*(($C$4/($C$4-1))*(($C$4*C8)-B8))*D8/E8</f>
        <v>0.5600763498</v>
      </c>
      <c r="J8" s="7">
        <f t="shared" ref="J8:J57" si="3">B8/C8</f>
        <v>1.610361959</v>
      </c>
      <c r="K8" s="5">
        <v>133.5</v>
      </c>
      <c r="L8" s="5">
        <v>666.9</v>
      </c>
    </row>
    <row r="9" ht="15.75" customHeight="1">
      <c r="A9" s="5">
        <v>1002.0</v>
      </c>
      <c r="B9" s="5">
        <v>407.3</v>
      </c>
      <c r="C9" s="8">
        <v>258.0</v>
      </c>
      <c r="D9" s="5">
        <v>0.01</v>
      </c>
      <c r="E9" s="5">
        <v>0.5</v>
      </c>
      <c r="F9" s="5">
        <v>1.0</v>
      </c>
      <c r="H9" s="7">
        <f t="shared" si="1"/>
        <v>0.88453534</v>
      </c>
      <c r="I9" s="7">
        <f t="shared" si="2"/>
        <v>0.5611975787</v>
      </c>
      <c r="J9" s="7">
        <f t="shared" si="3"/>
        <v>1.578682171</v>
      </c>
    </row>
    <row r="10" ht="15.75" customHeight="1">
      <c r="A10" s="5">
        <v>1003.0</v>
      </c>
      <c r="B10" s="5">
        <v>36.3</v>
      </c>
      <c r="C10" s="5">
        <v>22.9</v>
      </c>
      <c r="D10" s="5">
        <v>0.01</v>
      </c>
      <c r="E10" s="5">
        <v>0.5</v>
      </c>
      <c r="F10" s="5">
        <v>1.0</v>
      </c>
      <c r="H10" s="7">
        <f t="shared" si="1"/>
        <v>0.07938897225</v>
      </c>
      <c r="I10" s="7">
        <f t="shared" si="2"/>
        <v>0.04893383333</v>
      </c>
      <c r="J10" s="7">
        <f t="shared" si="3"/>
        <v>1.585152838</v>
      </c>
      <c r="M10" s="5" t="s">
        <v>20</v>
      </c>
    </row>
    <row r="11" ht="15.75" customHeight="1">
      <c r="A11" s="5">
        <v>1004.0</v>
      </c>
      <c r="B11" s="5">
        <v>19.3</v>
      </c>
      <c r="C11" s="5">
        <v>14.9</v>
      </c>
      <c r="D11" s="5">
        <v>0.01</v>
      </c>
      <c r="E11" s="5">
        <v>0.5</v>
      </c>
      <c r="F11" s="5">
        <v>1.0</v>
      </c>
      <c r="H11" s="7">
        <f t="shared" si="1"/>
        <v>0.02606802074</v>
      </c>
      <c r="I11" s="7">
        <f t="shared" si="2"/>
        <v>0.05742585712</v>
      </c>
      <c r="J11" s="7">
        <f t="shared" si="3"/>
        <v>1.295302013</v>
      </c>
    </row>
    <row r="12" ht="15.75" customHeight="1">
      <c r="A12" s="5">
        <v>1005.0</v>
      </c>
      <c r="B12" s="5">
        <v>27.4</v>
      </c>
      <c r="C12" s="5">
        <v>20.8</v>
      </c>
      <c r="D12" s="5">
        <v>0.01</v>
      </c>
      <c r="E12" s="5">
        <v>0.5</v>
      </c>
      <c r="F12" s="5">
        <v>1.0</v>
      </c>
      <c r="H12" s="7">
        <f t="shared" si="1"/>
        <v>0.03910203111</v>
      </c>
      <c r="I12" s="7">
        <f t="shared" si="2"/>
        <v>0.07745318094</v>
      </c>
      <c r="J12" s="7">
        <f t="shared" si="3"/>
        <v>1.317307692</v>
      </c>
    </row>
    <row r="13" ht="15.75" customHeight="1">
      <c r="A13" s="5">
        <v>1006.0</v>
      </c>
      <c r="B13" s="5">
        <v>22.4</v>
      </c>
      <c r="C13" s="5">
        <v>19.8</v>
      </c>
      <c r="D13" s="5">
        <v>0.01</v>
      </c>
      <c r="E13" s="5">
        <v>0.5</v>
      </c>
      <c r="F13" s="5">
        <v>1.0</v>
      </c>
      <c r="H13" s="7">
        <f t="shared" si="1"/>
        <v>0.01540383044</v>
      </c>
      <c r="I13" s="7">
        <f t="shared" si="2"/>
        <v>0.09554776565</v>
      </c>
      <c r="J13" s="7">
        <f t="shared" si="3"/>
        <v>1.131313131</v>
      </c>
    </row>
    <row r="14" ht="15.75" customHeight="1">
      <c r="A14" s="5">
        <v>1007.0</v>
      </c>
      <c r="B14" s="5">
        <v>53.7</v>
      </c>
      <c r="C14" s="5">
        <v>48.4</v>
      </c>
      <c r="D14" s="5">
        <v>0.01</v>
      </c>
      <c r="E14" s="5">
        <v>0.5</v>
      </c>
      <c r="F14" s="5">
        <v>1.0</v>
      </c>
      <c r="H14" s="7">
        <f t="shared" si="1"/>
        <v>0.03140011589</v>
      </c>
      <c r="I14" s="7">
        <f t="shared" si="2"/>
        <v>0.2398148968</v>
      </c>
      <c r="J14" s="7">
        <f t="shared" si="3"/>
        <v>1.109504132</v>
      </c>
    </row>
    <row r="15" ht="15.75" customHeight="1">
      <c r="A15" s="5">
        <v>1008.0</v>
      </c>
      <c r="B15" s="5">
        <v>31.9</v>
      </c>
      <c r="C15" s="5">
        <v>29.4</v>
      </c>
      <c r="D15" s="5">
        <v>0.01</v>
      </c>
      <c r="E15" s="5">
        <v>0.5</v>
      </c>
      <c r="F15" s="5">
        <v>1.0</v>
      </c>
      <c r="H15" s="7">
        <f t="shared" si="1"/>
        <v>0.01481137542</v>
      </c>
      <c r="I15" s="7">
        <f t="shared" si="2"/>
        <v>0.1499349339</v>
      </c>
      <c r="J15" s="7">
        <f t="shared" si="3"/>
        <v>1.085034014</v>
      </c>
    </row>
    <row r="16" ht="15.75" customHeight="1">
      <c r="A16" s="5">
        <v>1009.0</v>
      </c>
      <c r="B16" s="5">
        <v>37.6</v>
      </c>
      <c r="C16" s="5">
        <v>33.7</v>
      </c>
      <c r="D16" s="5">
        <v>0.01</v>
      </c>
      <c r="E16" s="5">
        <v>0.5</v>
      </c>
      <c r="F16" s="5">
        <v>1.0</v>
      </c>
      <c r="H16" s="7">
        <f t="shared" si="1"/>
        <v>0.02310574565</v>
      </c>
      <c r="I16" s="7">
        <f t="shared" si="2"/>
        <v>0.1657361123</v>
      </c>
      <c r="J16" s="7">
        <f t="shared" si="3"/>
        <v>1.115727003</v>
      </c>
    </row>
    <row r="17" ht="15.75" customHeight="1">
      <c r="A17" s="5">
        <v>1010.0</v>
      </c>
      <c r="B17" s="8">
        <v>3.0</v>
      </c>
      <c r="C17" s="5">
        <v>2.4</v>
      </c>
      <c r="D17" s="5">
        <v>0.01</v>
      </c>
      <c r="E17" s="5">
        <v>0.5</v>
      </c>
      <c r="F17" s="5">
        <v>1.0</v>
      </c>
      <c r="H17" s="7">
        <f t="shared" si="1"/>
        <v>0.003554730101</v>
      </c>
      <c r="I17" s="7">
        <f t="shared" si="2"/>
        <v>0.009893948213</v>
      </c>
      <c r="J17" s="7">
        <f t="shared" si="3"/>
        <v>1.25</v>
      </c>
    </row>
    <row r="18" ht="15.75" customHeight="1">
      <c r="A18" s="5">
        <v>1011.0</v>
      </c>
      <c r="B18" s="5">
        <v>17.3</v>
      </c>
      <c r="C18" s="5">
        <v>11.8</v>
      </c>
      <c r="D18" s="5">
        <v>0.01</v>
      </c>
      <c r="E18" s="5">
        <v>0.5</v>
      </c>
      <c r="F18" s="5">
        <v>1.0</v>
      </c>
      <c r="H18" s="7">
        <f t="shared" si="1"/>
        <v>0.03258502592</v>
      </c>
      <c r="I18" s="7">
        <f t="shared" si="2"/>
        <v>0.03353764245</v>
      </c>
      <c r="J18" s="7">
        <f t="shared" si="3"/>
        <v>1.466101695</v>
      </c>
      <c r="K18" s="8">
        <v>134.0</v>
      </c>
      <c r="L18" s="5">
        <v>666.7</v>
      </c>
    </row>
    <row r="19" ht="15.75" customHeight="1">
      <c r="A19" s="5">
        <v>1012.0</v>
      </c>
      <c r="B19" s="5">
        <v>4.8</v>
      </c>
      <c r="C19" s="5">
        <v>4.3</v>
      </c>
      <c r="D19" s="5">
        <v>0.01</v>
      </c>
      <c r="E19" s="5">
        <v>0.5</v>
      </c>
      <c r="F19" s="5">
        <v>1.0</v>
      </c>
      <c r="H19" s="7">
        <f t="shared" si="1"/>
        <v>0.002962275084</v>
      </c>
      <c r="I19" s="7">
        <f t="shared" si="2"/>
        <v>0.02113327356</v>
      </c>
      <c r="J19" s="7">
        <f t="shared" si="3"/>
        <v>1.11627907</v>
      </c>
      <c r="M19" s="5" t="s">
        <v>21</v>
      </c>
    </row>
    <row r="20" ht="15.75" customHeight="1">
      <c r="A20" s="5">
        <v>1013.0</v>
      </c>
      <c r="B20" s="8">
        <v>265.0</v>
      </c>
      <c r="C20" s="5">
        <v>156.2</v>
      </c>
      <c r="D20" s="5">
        <v>0.01</v>
      </c>
      <c r="E20" s="5">
        <v>0.5</v>
      </c>
      <c r="F20" s="5">
        <v>1.0</v>
      </c>
      <c r="H20" s="7">
        <f t="shared" si="1"/>
        <v>0.6445910582</v>
      </c>
      <c r="I20" s="7">
        <f t="shared" si="2"/>
        <v>0.2306937553</v>
      </c>
      <c r="J20" s="7">
        <f t="shared" si="3"/>
        <v>1.696542894</v>
      </c>
    </row>
    <row r="21" ht="15.75" customHeight="1">
      <c r="A21" s="5">
        <v>1014.0</v>
      </c>
      <c r="B21" s="5">
        <v>18.3</v>
      </c>
      <c r="C21" s="5">
        <v>12.2</v>
      </c>
      <c r="D21" s="5">
        <v>0.01</v>
      </c>
      <c r="E21" s="5">
        <v>0.5</v>
      </c>
      <c r="F21" s="5">
        <v>1.0</v>
      </c>
      <c r="H21" s="7">
        <f t="shared" si="1"/>
        <v>0.03613975602</v>
      </c>
      <c r="I21" s="7">
        <f t="shared" si="2"/>
        <v>0.03222435874</v>
      </c>
      <c r="J21" s="7">
        <f t="shared" si="3"/>
        <v>1.5</v>
      </c>
    </row>
    <row r="22" ht="15.75" customHeight="1">
      <c r="A22" s="5">
        <v>1015.0</v>
      </c>
      <c r="B22" s="5">
        <v>109.1</v>
      </c>
      <c r="C22" s="5">
        <v>65.6</v>
      </c>
      <c r="D22" s="5">
        <v>0.01</v>
      </c>
      <c r="E22" s="5">
        <v>0.5</v>
      </c>
      <c r="F22" s="5">
        <v>1.0</v>
      </c>
      <c r="H22" s="7">
        <f t="shared" si="1"/>
        <v>0.2577179323</v>
      </c>
      <c r="I22" s="7">
        <f t="shared" si="2"/>
        <v>0.1098792749</v>
      </c>
      <c r="J22" s="7">
        <f t="shared" si="3"/>
        <v>1.663109756</v>
      </c>
    </row>
    <row r="23" ht="15.75" customHeight="1">
      <c r="A23" s="5">
        <v>1016.0</v>
      </c>
      <c r="B23" s="5">
        <v>133.6</v>
      </c>
      <c r="C23" s="5">
        <v>76.9</v>
      </c>
      <c r="D23" s="5">
        <v>0.01</v>
      </c>
      <c r="E23" s="5">
        <v>0.5</v>
      </c>
      <c r="F23" s="5">
        <v>1.0</v>
      </c>
      <c r="H23" s="7">
        <f t="shared" si="1"/>
        <v>0.3359219945</v>
      </c>
      <c r="I23" s="7">
        <f t="shared" si="2"/>
        <v>0.09499607312</v>
      </c>
      <c r="J23" s="7">
        <f t="shared" si="3"/>
        <v>1.737321196</v>
      </c>
    </row>
    <row r="24" ht="15.75" customHeight="1">
      <c r="A24" s="5">
        <v>1017.0</v>
      </c>
      <c r="B24" s="5">
        <v>47.5</v>
      </c>
      <c r="C24" s="5">
        <v>27.5</v>
      </c>
      <c r="D24" s="5">
        <v>0.01</v>
      </c>
      <c r="E24" s="5">
        <v>0.5</v>
      </c>
      <c r="F24" s="5">
        <v>1.0</v>
      </c>
      <c r="H24" s="7">
        <f t="shared" si="1"/>
        <v>0.1184910034</v>
      </c>
      <c r="I24" s="7">
        <f t="shared" si="2"/>
        <v>0.03560843565</v>
      </c>
      <c r="J24" s="7">
        <f t="shared" si="3"/>
        <v>1.727272727</v>
      </c>
    </row>
    <row r="25" ht="15.75" customHeight="1">
      <c r="A25" s="5">
        <v>1018.0</v>
      </c>
      <c r="B25" s="5">
        <v>5.9</v>
      </c>
      <c r="C25" s="5">
        <v>4.9</v>
      </c>
      <c r="D25" s="5">
        <v>0.01</v>
      </c>
      <c r="E25" s="5">
        <v>0.5</v>
      </c>
      <c r="F25" s="5">
        <v>1.0</v>
      </c>
      <c r="H25" s="7">
        <f t="shared" si="1"/>
        <v>0.005924550168</v>
      </c>
      <c r="I25" s="7">
        <f t="shared" si="2"/>
        <v>0.02153316806</v>
      </c>
      <c r="J25" s="7">
        <f t="shared" si="3"/>
        <v>1.204081633</v>
      </c>
      <c r="M25" s="5" t="s">
        <v>22</v>
      </c>
    </row>
    <row r="26" ht="15.75" customHeight="1">
      <c r="A26" s="5">
        <v>1019.0</v>
      </c>
      <c r="B26" s="5">
        <v>4.3</v>
      </c>
      <c r="C26" s="5">
        <v>3.5</v>
      </c>
      <c r="D26" s="5">
        <v>0.01</v>
      </c>
      <c r="E26" s="5">
        <v>0.5</v>
      </c>
      <c r="F26" s="5">
        <v>1.0</v>
      </c>
      <c r="H26" s="7">
        <f t="shared" si="1"/>
        <v>0.004739640134</v>
      </c>
      <c r="I26" s="7">
        <f t="shared" si="2"/>
        <v>0.01487301574</v>
      </c>
      <c r="J26" s="7">
        <f t="shared" si="3"/>
        <v>1.228571429</v>
      </c>
    </row>
    <row r="27" ht="15.75" customHeight="1">
      <c r="A27" s="5">
        <v>1020.0</v>
      </c>
      <c r="B27" s="5">
        <v>2.8</v>
      </c>
      <c r="C27" s="5">
        <v>2.3</v>
      </c>
      <c r="D27" s="5">
        <v>0.01</v>
      </c>
      <c r="E27" s="5">
        <v>0.5</v>
      </c>
      <c r="F27" s="5">
        <v>1.0</v>
      </c>
      <c r="H27" s="7">
        <f t="shared" si="1"/>
        <v>0.002962275084</v>
      </c>
      <c r="I27" s="7">
        <f t="shared" si="2"/>
        <v>0.009926041633</v>
      </c>
      <c r="J27" s="7">
        <f t="shared" si="3"/>
        <v>1.217391304</v>
      </c>
    </row>
    <row r="28" ht="15.75" customHeight="1">
      <c r="A28" s="9">
        <v>1021.0</v>
      </c>
      <c r="B28" s="9">
        <v>1.1</v>
      </c>
      <c r="C28" s="9">
        <v>0.4</v>
      </c>
      <c r="D28" s="9">
        <v>0.01</v>
      </c>
      <c r="E28" s="9">
        <v>0.5</v>
      </c>
      <c r="F28" s="9">
        <v>1.0</v>
      </c>
      <c r="G28" s="9"/>
      <c r="H28" s="10">
        <f t="shared" si="1"/>
        <v>0.004147185117</v>
      </c>
      <c r="I28" s="10">
        <f t="shared" si="2"/>
        <v>-0.001905738732</v>
      </c>
      <c r="J28" s="10">
        <f t="shared" si="3"/>
        <v>2.75</v>
      </c>
    </row>
    <row r="29" ht="15.75" customHeight="1">
      <c r="A29" s="5">
        <v>1022.0</v>
      </c>
      <c r="B29" s="8">
        <v>6.0</v>
      </c>
      <c r="C29" s="5">
        <v>5.2</v>
      </c>
      <c r="D29" s="5">
        <v>0.01</v>
      </c>
      <c r="E29" s="5">
        <v>0.5</v>
      </c>
      <c r="F29" s="5">
        <v>1.0</v>
      </c>
      <c r="H29" s="7">
        <f t="shared" si="1"/>
        <v>0.004739640134</v>
      </c>
      <c r="I29" s="7">
        <f t="shared" si="2"/>
        <v>0.02439916288</v>
      </c>
      <c r="J29" s="7">
        <f t="shared" si="3"/>
        <v>1.153846154</v>
      </c>
    </row>
    <row r="30" ht="15.75" customHeight="1">
      <c r="A30" s="5">
        <v>1023.0</v>
      </c>
      <c r="B30" s="8">
        <v>22.0</v>
      </c>
      <c r="C30" s="5">
        <v>19.6</v>
      </c>
      <c r="D30" s="5">
        <v>0.01</v>
      </c>
      <c r="E30" s="5">
        <v>0.5</v>
      </c>
      <c r="F30" s="5">
        <v>1.0</v>
      </c>
      <c r="H30" s="7">
        <f t="shared" si="1"/>
        <v>0.0142189204</v>
      </c>
      <c r="I30" s="7">
        <f t="shared" si="2"/>
        <v>0.09561195249</v>
      </c>
      <c r="J30" s="7">
        <f t="shared" si="3"/>
        <v>1.12244898</v>
      </c>
    </row>
    <row r="31" ht="15.75" customHeight="1">
      <c r="A31" s="5">
        <v>5061.0</v>
      </c>
      <c r="B31" s="5">
        <v>5.5</v>
      </c>
      <c r="C31" s="5">
        <v>4.1</v>
      </c>
      <c r="D31" s="5">
        <v>0.01</v>
      </c>
      <c r="E31" s="5">
        <v>0.5</v>
      </c>
      <c r="F31" s="5">
        <v>1.0</v>
      </c>
      <c r="H31" s="7">
        <f t="shared" si="1"/>
        <v>0.008294370235</v>
      </c>
      <c r="I31" s="7">
        <f t="shared" si="2"/>
        <v>0.01468045522</v>
      </c>
      <c r="J31" s="7">
        <f t="shared" si="3"/>
        <v>1.341463415</v>
      </c>
      <c r="K31" s="8">
        <v>134.0</v>
      </c>
      <c r="L31" s="8">
        <v>666.0</v>
      </c>
    </row>
    <row r="32" ht="15.75" customHeight="1">
      <c r="A32" s="5">
        <v>5062.0</v>
      </c>
      <c r="B32" s="5">
        <v>5.9</v>
      </c>
      <c r="C32" s="5">
        <v>4.6</v>
      </c>
      <c r="D32" s="5">
        <v>0.01</v>
      </c>
      <c r="E32" s="5">
        <v>0.5</v>
      </c>
      <c r="F32" s="5">
        <v>1.0</v>
      </c>
      <c r="H32" s="7">
        <f t="shared" si="1"/>
        <v>0.007701915218</v>
      </c>
      <c r="I32" s="7">
        <f t="shared" si="2"/>
        <v>0.01807471822</v>
      </c>
      <c r="J32" s="7">
        <f t="shared" si="3"/>
        <v>1.282608696</v>
      </c>
    </row>
    <row r="33" ht="15.75" customHeight="1">
      <c r="A33" s="5">
        <v>5063.0</v>
      </c>
      <c r="B33" s="5">
        <v>38.7</v>
      </c>
      <c r="C33" s="5">
        <v>24.6</v>
      </c>
      <c r="D33" s="5">
        <v>0.01</v>
      </c>
      <c r="E33" s="5">
        <v>0.5</v>
      </c>
      <c r="F33" s="5">
        <v>1.0</v>
      </c>
      <c r="H33" s="7">
        <f t="shared" si="1"/>
        <v>0.08353615736</v>
      </c>
      <c r="I33" s="7">
        <f t="shared" si="2"/>
        <v>0.05431279535</v>
      </c>
      <c r="J33" s="7">
        <f t="shared" si="3"/>
        <v>1.573170732</v>
      </c>
    </row>
    <row r="34" ht="15.75" customHeight="1">
      <c r="A34" s="5">
        <v>5064.0</v>
      </c>
      <c r="B34" s="5">
        <v>59.9</v>
      </c>
      <c r="C34" s="5">
        <v>32.6</v>
      </c>
      <c r="D34" s="5">
        <v>0.01</v>
      </c>
      <c r="E34" s="5">
        <v>0.5</v>
      </c>
      <c r="F34" s="5">
        <v>1.0</v>
      </c>
      <c r="H34" s="7">
        <f t="shared" si="1"/>
        <v>0.1617402196</v>
      </c>
      <c r="I34" s="7">
        <f t="shared" si="2"/>
        <v>0.02093766085</v>
      </c>
      <c r="J34" s="7">
        <f t="shared" si="3"/>
        <v>1.837423313</v>
      </c>
    </row>
    <row r="35" ht="15.75" customHeight="1">
      <c r="A35" s="5">
        <v>5065.0</v>
      </c>
      <c r="B35" s="5">
        <v>520.9</v>
      </c>
      <c r="C35" s="5">
        <v>314.2</v>
      </c>
      <c r="D35" s="5">
        <v>0.01</v>
      </c>
      <c r="E35" s="5">
        <v>0.5</v>
      </c>
      <c r="F35" s="5">
        <v>1.0</v>
      </c>
      <c r="H35" s="7">
        <f t="shared" si="1"/>
        <v>1.22460452</v>
      </c>
      <c r="I35" s="7">
        <f t="shared" si="2"/>
        <v>0.5360516162</v>
      </c>
      <c r="J35" s="7">
        <f t="shared" si="3"/>
        <v>1.657861235</v>
      </c>
    </row>
    <row r="36" ht="15.75" customHeight="1">
      <c r="A36" s="5">
        <v>5066.0</v>
      </c>
      <c r="B36" s="5">
        <v>153.6</v>
      </c>
      <c r="C36" s="8">
        <v>92.0</v>
      </c>
      <c r="D36" s="5">
        <v>0.01</v>
      </c>
      <c r="E36" s="5">
        <v>0.5</v>
      </c>
      <c r="F36" s="5">
        <v>1.0</v>
      </c>
      <c r="H36" s="7">
        <f t="shared" si="1"/>
        <v>0.3649522903</v>
      </c>
      <c r="I36" s="7">
        <f t="shared" si="2"/>
        <v>0.1505803784</v>
      </c>
      <c r="J36" s="7">
        <f t="shared" si="3"/>
        <v>1.669565217</v>
      </c>
    </row>
    <row r="37" ht="15.75" customHeight="1">
      <c r="A37" s="5">
        <v>5067.0</v>
      </c>
      <c r="B37" s="5">
        <v>86.9</v>
      </c>
      <c r="C37" s="5">
        <v>47.7</v>
      </c>
      <c r="D37" s="5">
        <v>0.01</v>
      </c>
      <c r="E37" s="5">
        <v>0.5</v>
      </c>
      <c r="F37" s="5">
        <v>1.0</v>
      </c>
      <c r="H37" s="7">
        <f t="shared" si="1"/>
        <v>0.2322423666</v>
      </c>
      <c r="I37" s="7">
        <f t="shared" si="2"/>
        <v>0.03505011491</v>
      </c>
      <c r="J37" s="7">
        <f t="shared" si="3"/>
        <v>1.821802935</v>
      </c>
    </row>
    <row r="38" ht="15.75" customHeight="1">
      <c r="A38" s="5">
        <v>5068.0</v>
      </c>
      <c r="B38" s="5">
        <v>6.5</v>
      </c>
      <c r="C38" s="8">
        <v>5.0</v>
      </c>
      <c r="D38" s="5">
        <v>0.01</v>
      </c>
      <c r="E38" s="5">
        <v>0.5</v>
      </c>
      <c r="F38" s="5">
        <v>1.0</v>
      </c>
      <c r="H38" s="7">
        <f t="shared" si="1"/>
        <v>0.008886825251</v>
      </c>
      <c r="I38" s="7">
        <f t="shared" si="2"/>
        <v>0.01913125457</v>
      </c>
      <c r="J38" s="7">
        <f t="shared" si="3"/>
        <v>1.3</v>
      </c>
    </row>
    <row r="39" ht="15.75" customHeight="1">
      <c r="A39" s="5">
        <v>5069.0</v>
      </c>
      <c r="B39" s="5">
        <v>30.3</v>
      </c>
      <c r="C39" s="8">
        <v>20.0</v>
      </c>
      <c r="D39" s="5">
        <v>0.01</v>
      </c>
      <c r="E39" s="5">
        <v>0.5</v>
      </c>
      <c r="F39" s="5">
        <v>1.0</v>
      </c>
      <c r="H39" s="7">
        <f t="shared" si="1"/>
        <v>0.06102286673</v>
      </c>
      <c r="I39" s="7">
        <f t="shared" si="2"/>
        <v>0.05104945255</v>
      </c>
      <c r="J39" s="7">
        <f t="shared" si="3"/>
        <v>1.515</v>
      </c>
      <c r="M39" s="5" t="s">
        <v>21</v>
      </c>
    </row>
    <row r="40" ht="15.75" customHeight="1">
      <c r="A40" s="5">
        <v>5070.0</v>
      </c>
      <c r="B40" s="5">
        <v>8.1</v>
      </c>
      <c r="C40" s="8">
        <v>6.8</v>
      </c>
      <c r="D40" s="5">
        <v>0.01</v>
      </c>
      <c r="E40" s="5">
        <v>0.5</v>
      </c>
      <c r="F40" s="5">
        <v>1.0</v>
      </c>
      <c r="H40" s="7">
        <f t="shared" si="1"/>
        <v>0.007701915218</v>
      </c>
      <c r="I40" s="7">
        <f t="shared" si="2"/>
        <v>0.03040267334</v>
      </c>
      <c r="J40" s="7">
        <f t="shared" si="3"/>
        <v>1.191176471</v>
      </c>
    </row>
    <row r="41" ht="15.75" customHeight="1">
      <c r="A41" s="5">
        <v>5071.0</v>
      </c>
      <c r="B41" s="5">
        <v>54.7</v>
      </c>
      <c r="C41" s="8">
        <v>32.9</v>
      </c>
      <c r="D41" s="5">
        <v>0.01</v>
      </c>
      <c r="E41" s="5">
        <v>0.5</v>
      </c>
      <c r="F41" s="5">
        <v>1.0</v>
      </c>
      <c r="H41" s="7">
        <f t="shared" si="1"/>
        <v>0.1291551937</v>
      </c>
      <c r="I41" s="7">
        <f t="shared" si="2"/>
        <v>0.05520377156</v>
      </c>
      <c r="J41" s="7">
        <f t="shared" si="3"/>
        <v>1.662613982</v>
      </c>
      <c r="K41" s="5">
        <v>133.5</v>
      </c>
      <c r="L41" s="8">
        <v>660.0</v>
      </c>
    </row>
    <row r="42" ht="15.75" customHeight="1">
      <c r="A42" s="5">
        <v>5072.0</v>
      </c>
      <c r="B42" s="5">
        <v>7.7</v>
      </c>
      <c r="C42" s="8">
        <v>6.6</v>
      </c>
      <c r="D42" s="5">
        <v>0.01</v>
      </c>
      <c r="E42" s="5">
        <v>0.5</v>
      </c>
      <c r="F42" s="5">
        <v>1.0</v>
      </c>
      <c r="H42" s="7">
        <f t="shared" si="1"/>
        <v>0.006517005184</v>
      </c>
      <c r="I42" s="7">
        <f t="shared" si="2"/>
        <v>0.03046686018</v>
      </c>
      <c r="J42" s="7">
        <f t="shared" si="3"/>
        <v>1.166666667</v>
      </c>
    </row>
    <row r="43" ht="15.75" customHeight="1">
      <c r="A43" s="5">
        <v>5073.0</v>
      </c>
      <c r="B43" s="5">
        <v>8.4</v>
      </c>
      <c r="C43" s="8">
        <v>5.1</v>
      </c>
      <c r="D43" s="5">
        <v>0.01</v>
      </c>
      <c r="E43" s="5">
        <v>0.5</v>
      </c>
      <c r="F43" s="5">
        <v>1.0</v>
      </c>
      <c r="H43" s="7">
        <f t="shared" si="1"/>
        <v>0.01955101555</v>
      </c>
      <c r="I43" s="7">
        <f t="shared" si="2"/>
        <v>0.009027425863</v>
      </c>
      <c r="J43" s="7">
        <f t="shared" si="3"/>
        <v>1.647058824</v>
      </c>
    </row>
    <row r="44" ht="15.75" customHeight="1">
      <c r="A44" s="5">
        <v>5074.0</v>
      </c>
      <c r="B44" s="5">
        <v>121.4</v>
      </c>
      <c r="C44" s="8">
        <v>79.5</v>
      </c>
      <c r="D44" s="5">
        <v>0.01</v>
      </c>
      <c r="E44" s="5">
        <v>0.5</v>
      </c>
      <c r="F44" s="5">
        <v>1.0</v>
      </c>
      <c r="H44" s="7">
        <f t="shared" si="1"/>
        <v>0.248238652</v>
      </c>
      <c r="I44" s="7">
        <f t="shared" si="2"/>
        <v>0.1972488171</v>
      </c>
      <c r="J44" s="7">
        <f t="shared" si="3"/>
        <v>1.527044025</v>
      </c>
    </row>
    <row r="45" ht="15.75" customHeight="1">
      <c r="A45" s="5">
        <v>5075.0</v>
      </c>
      <c r="B45" s="5">
        <v>240.4</v>
      </c>
      <c r="C45" s="8">
        <v>147.8</v>
      </c>
      <c r="D45" s="5">
        <v>0.01</v>
      </c>
      <c r="E45" s="5">
        <v>0.5</v>
      </c>
      <c r="F45" s="5">
        <v>1.0</v>
      </c>
      <c r="H45" s="7">
        <f t="shared" si="1"/>
        <v>0.5486133455</v>
      </c>
      <c r="I45" s="7">
        <f t="shared" si="2"/>
        <v>0.2796010939</v>
      </c>
      <c r="J45" s="7">
        <f t="shared" si="3"/>
        <v>1.626522327</v>
      </c>
    </row>
    <row r="46" ht="15.75" customHeight="1">
      <c r="A46" s="5">
        <v>6001.0</v>
      </c>
      <c r="B46" s="5">
        <v>115.4</v>
      </c>
      <c r="C46" s="8">
        <v>69.0</v>
      </c>
      <c r="D46" s="5">
        <v>0.01</v>
      </c>
      <c r="E46" s="5">
        <v>0.5</v>
      </c>
      <c r="F46" s="5">
        <v>1.0</v>
      </c>
      <c r="H46" s="7">
        <f t="shared" si="1"/>
        <v>0.2748991278</v>
      </c>
      <c r="I46" s="7">
        <f t="shared" si="2"/>
        <v>0.1117503737</v>
      </c>
      <c r="J46" s="7">
        <f t="shared" si="3"/>
        <v>1.672463768</v>
      </c>
    </row>
    <row r="47" ht="15.75" customHeight="1">
      <c r="A47" s="11">
        <v>6002.0</v>
      </c>
      <c r="B47" s="11">
        <v>252.1</v>
      </c>
      <c r="C47" s="11">
        <v>170.0</v>
      </c>
      <c r="D47" s="11">
        <v>0.01</v>
      </c>
      <c r="E47" s="11">
        <v>0.5</v>
      </c>
      <c r="F47" s="11">
        <v>1.14</v>
      </c>
      <c r="G47" s="11"/>
      <c r="H47" s="7">
        <f t="shared" si="1"/>
        <v>0.5545023484</v>
      </c>
      <c r="I47" s="7">
        <f t="shared" si="2"/>
        <v>0.4662091451</v>
      </c>
      <c r="J47" s="7">
        <f t="shared" si="3"/>
        <v>1.482941176</v>
      </c>
      <c r="M47" s="5" t="s">
        <v>23</v>
      </c>
    </row>
    <row r="48" ht="15.75" customHeight="1">
      <c r="A48" s="5">
        <v>6003.0</v>
      </c>
      <c r="B48" s="5">
        <v>5.4</v>
      </c>
      <c r="C48" s="8">
        <v>4.6</v>
      </c>
      <c r="D48" s="5">
        <v>0.01</v>
      </c>
      <c r="E48" s="5">
        <v>0.5</v>
      </c>
      <c r="F48" s="5">
        <v>1.0</v>
      </c>
      <c r="H48" s="7">
        <f t="shared" si="1"/>
        <v>0.004739640134</v>
      </c>
      <c r="I48" s="7">
        <f t="shared" si="2"/>
        <v>0.0210369933</v>
      </c>
      <c r="J48" s="7">
        <f t="shared" si="3"/>
        <v>1.173913043</v>
      </c>
    </row>
    <row r="49" ht="15.75" customHeight="1">
      <c r="A49" s="5">
        <v>6004.0</v>
      </c>
      <c r="B49" s="5">
        <v>8.7</v>
      </c>
      <c r="C49" s="8">
        <v>7.3</v>
      </c>
      <c r="D49" s="5">
        <v>0.01</v>
      </c>
      <c r="E49" s="5">
        <v>0.5</v>
      </c>
      <c r="F49" s="5">
        <v>1.0</v>
      </c>
      <c r="H49" s="7">
        <f t="shared" si="1"/>
        <v>0.008294370235</v>
      </c>
      <c r="I49" s="7">
        <f t="shared" si="2"/>
        <v>0.0326120263</v>
      </c>
      <c r="J49" s="7">
        <f t="shared" si="3"/>
        <v>1.191780822</v>
      </c>
    </row>
    <row r="50" ht="15.75" customHeight="1">
      <c r="A50" s="5">
        <v>6005.0</v>
      </c>
      <c r="B50" s="5">
        <v>8.8</v>
      </c>
      <c r="C50" s="8">
        <v>7.5</v>
      </c>
      <c r="D50" s="5">
        <v>0.01</v>
      </c>
      <c r="E50" s="5">
        <v>0.5</v>
      </c>
      <c r="F50" s="5">
        <v>1.0</v>
      </c>
      <c r="H50" s="7">
        <f t="shared" si="1"/>
        <v>0.007701915218</v>
      </c>
      <c r="I50" s="7">
        <f t="shared" si="2"/>
        <v>0.03432520451</v>
      </c>
      <c r="J50" s="7">
        <f t="shared" si="3"/>
        <v>1.173333333</v>
      </c>
    </row>
    <row r="51" ht="15.75" customHeight="1">
      <c r="A51" s="5">
        <v>6006.0</v>
      </c>
      <c r="B51" s="5">
        <v>19.2</v>
      </c>
      <c r="C51" s="8">
        <v>13.0</v>
      </c>
      <c r="D51" s="5">
        <v>0.01</v>
      </c>
      <c r="E51" s="5">
        <v>0.5</v>
      </c>
      <c r="F51" s="5">
        <v>1.0</v>
      </c>
      <c r="H51" s="7">
        <f t="shared" si="1"/>
        <v>0.03673221104</v>
      </c>
      <c r="I51" s="7">
        <f t="shared" si="2"/>
        <v>0.03611479649</v>
      </c>
      <c r="J51" s="7">
        <f t="shared" si="3"/>
        <v>1.476923077</v>
      </c>
      <c r="K51" s="5">
        <v>133.1</v>
      </c>
      <c r="L51" s="5">
        <v>661.9</v>
      </c>
    </row>
    <row r="52" ht="15.75" customHeight="1">
      <c r="A52" s="5">
        <v>6007.0</v>
      </c>
      <c r="B52" s="5">
        <v>429.9</v>
      </c>
      <c r="C52" s="8">
        <v>252.7</v>
      </c>
      <c r="D52" s="5">
        <v>0.01</v>
      </c>
      <c r="E52" s="5">
        <v>0.5</v>
      </c>
      <c r="F52" s="5">
        <v>1.0</v>
      </c>
      <c r="H52" s="7">
        <f t="shared" si="1"/>
        <v>1.04983029</v>
      </c>
      <c r="I52" s="7">
        <f t="shared" si="2"/>
        <v>0.3662034644</v>
      </c>
      <c r="J52" s="7">
        <f t="shared" si="3"/>
        <v>1.701226751</v>
      </c>
    </row>
    <row r="53" ht="15.75" customHeight="1">
      <c r="A53" s="5">
        <v>6008.0</v>
      </c>
      <c r="B53" s="5">
        <v>38.1</v>
      </c>
      <c r="C53" s="8">
        <v>25.3</v>
      </c>
      <c r="D53" s="5">
        <v>0.01</v>
      </c>
      <c r="E53" s="5">
        <v>0.5</v>
      </c>
      <c r="F53" s="5">
        <v>1.0</v>
      </c>
      <c r="H53" s="7">
        <f t="shared" si="1"/>
        <v>0.07583424215</v>
      </c>
      <c r="I53" s="7">
        <f t="shared" si="2"/>
        <v>0.06593724174</v>
      </c>
      <c r="J53" s="7">
        <f t="shared" si="3"/>
        <v>1.505928854</v>
      </c>
    </row>
    <row r="54" ht="15.75" customHeight="1">
      <c r="A54" s="5">
        <v>6009.0</v>
      </c>
      <c r="B54" s="5">
        <v>158.2</v>
      </c>
      <c r="C54" s="8">
        <v>95.9</v>
      </c>
      <c r="D54" s="5">
        <v>0.01</v>
      </c>
      <c r="E54" s="5">
        <v>0.5</v>
      </c>
      <c r="F54" s="5">
        <v>1.0</v>
      </c>
      <c r="H54" s="7">
        <f t="shared" si="1"/>
        <v>0.3690994754</v>
      </c>
      <c r="I54" s="7">
        <f t="shared" si="2"/>
        <v>0.1682872955</v>
      </c>
      <c r="J54" s="7">
        <f t="shared" si="3"/>
        <v>1.649635036</v>
      </c>
    </row>
    <row r="55" ht="15.75" customHeight="1">
      <c r="A55" s="5">
        <v>6010.0</v>
      </c>
      <c r="B55" s="5">
        <v>71.5</v>
      </c>
      <c r="C55" s="8">
        <v>46.1</v>
      </c>
      <c r="D55" s="5">
        <v>0.01</v>
      </c>
      <c r="E55" s="5">
        <v>0.5</v>
      </c>
      <c r="F55" s="5">
        <v>1.0</v>
      </c>
      <c r="H55" s="7">
        <f t="shared" si="1"/>
        <v>0.1504835743</v>
      </c>
      <c r="I55" s="7">
        <f t="shared" si="2"/>
        <v>0.1078431217</v>
      </c>
      <c r="J55" s="7">
        <f t="shared" si="3"/>
        <v>1.550976139</v>
      </c>
      <c r="M55" s="5" t="s">
        <v>24</v>
      </c>
    </row>
    <row r="56" ht="15.75" customHeight="1">
      <c r="A56" s="5">
        <v>6011.0</v>
      </c>
      <c r="B56" s="5">
        <v>698.9</v>
      </c>
      <c r="C56" s="8">
        <v>539.6</v>
      </c>
      <c r="D56" s="5">
        <v>0.01</v>
      </c>
      <c r="E56" s="5">
        <v>0.5</v>
      </c>
      <c r="F56" s="5">
        <v>1.0</v>
      </c>
      <c r="H56" s="7">
        <f t="shared" si="1"/>
        <v>0.9437808417</v>
      </c>
      <c r="I56" s="7">
        <f t="shared" si="2"/>
        <v>2.079930332</v>
      </c>
      <c r="J56" s="7">
        <f t="shared" si="3"/>
        <v>1.295218681</v>
      </c>
    </row>
    <row r="57" ht="15.75" customHeight="1">
      <c r="A57" s="5">
        <v>6012.0</v>
      </c>
      <c r="B57" s="5">
        <v>40.8</v>
      </c>
      <c r="C57" s="8">
        <v>38.4</v>
      </c>
      <c r="D57" s="5">
        <v>0.01</v>
      </c>
      <c r="E57" s="5">
        <v>0.5</v>
      </c>
      <c r="F57" s="5">
        <v>1.0</v>
      </c>
      <c r="H57" s="7">
        <f t="shared" si="1"/>
        <v>0.0142189204</v>
      </c>
      <c r="I57" s="7">
        <f t="shared" si="2"/>
        <v>0.2009599326</v>
      </c>
      <c r="J57" s="7">
        <f t="shared" si="3"/>
        <v>1.0625</v>
      </c>
      <c r="K57" s="5">
        <v>133.3</v>
      </c>
      <c r="L57" s="5">
        <v>662.7</v>
      </c>
      <c r="M57" s="5" t="s">
        <v>25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2025-12-02T19:02:56Z</dcterms:created>
  <dc:creator>Mariela White</dc:creator>
</cp:coreProperties>
</file>