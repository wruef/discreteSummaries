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autoCompressPictures="0"/>
  <bookViews>
    <workbookView xWindow="12140" yWindow="0" windowWidth="24960" windowHeight="22160"/>
  </bookViews>
  <sheets>
    <sheet name="Sheet1" sheetId="1" r:id="rId1"/>
  </sheets>
  <definedNames>
    <definedName name="_xlnm.Print_Area" localSheetId="0">Sheet1!$A:$K</definedName>
    <definedName name="_xlnm.Print_Titles" localSheetId="0">Sheet1!$2:$16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21" i="1" l="1"/>
  <c r="Q21" i="1"/>
  <c r="Q24" i="1"/>
  <c r="B12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7" i="1"/>
  <c r="L127" i="1"/>
  <c r="K127" i="1"/>
  <c r="M126" i="1"/>
  <c r="L126" i="1"/>
  <c r="K126" i="1"/>
  <c r="M125" i="1"/>
  <c r="L125" i="1"/>
  <c r="K125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1" i="1"/>
  <c r="L41" i="1"/>
  <c r="K41" i="1"/>
  <c r="M40" i="1"/>
  <c r="L40" i="1"/>
  <c r="K40" i="1"/>
  <c r="M39" i="1"/>
  <c r="L39" i="1"/>
  <c r="K39" i="1"/>
  <c r="M38" i="1"/>
  <c r="L38" i="1"/>
  <c r="K38" i="1"/>
  <c r="M27" i="1"/>
  <c r="M37" i="1"/>
  <c r="M36" i="1"/>
  <c r="M35" i="1"/>
  <c r="M34" i="1"/>
  <c r="M33" i="1"/>
  <c r="M32" i="1"/>
  <c r="M31" i="1"/>
  <c r="M30" i="1"/>
  <c r="M28" i="1"/>
  <c r="M26" i="1"/>
  <c r="M25" i="1"/>
  <c r="M24" i="1"/>
  <c r="M23" i="1"/>
  <c r="M22" i="1"/>
  <c r="M21" i="1"/>
  <c r="M20" i="1"/>
  <c r="M19" i="1"/>
  <c r="M17" i="1"/>
  <c r="M18" i="1"/>
  <c r="S22" i="1"/>
  <c r="S23" i="1"/>
  <c r="K27" i="1"/>
  <c r="L27" i="1"/>
  <c r="K36" i="1"/>
  <c r="L33" i="1"/>
  <c r="K28" i="1"/>
  <c r="L25" i="1"/>
  <c r="K20" i="1"/>
  <c r="L36" i="1"/>
  <c r="K31" i="1"/>
  <c r="L28" i="1"/>
  <c r="K23" i="1"/>
  <c r="L20" i="1"/>
  <c r="K34" i="1"/>
  <c r="L31" i="1"/>
  <c r="K26" i="1"/>
  <c r="L23" i="1"/>
  <c r="K37" i="1"/>
  <c r="L34" i="1"/>
  <c r="L26" i="1"/>
  <c r="K21" i="1"/>
  <c r="L37" i="1"/>
  <c r="K32" i="1"/>
  <c r="K24" i="1"/>
  <c r="L21" i="1"/>
  <c r="K35" i="1"/>
  <c r="L32" i="1"/>
  <c r="L24" i="1"/>
  <c r="K19" i="1"/>
  <c r="L35" i="1"/>
  <c r="K30" i="1"/>
  <c r="K22" i="1"/>
  <c r="L19" i="1"/>
  <c r="K33" i="1"/>
  <c r="L30" i="1"/>
  <c r="K25" i="1"/>
  <c r="L22" i="1"/>
  <c r="K18" i="1"/>
  <c r="L18" i="1"/>
  <c r="K17" i="1"/>
  <c r="L17" i="1"/>
</calcChain>
</file>

<file path=xl/sharedStrings.xml><?xml version="1.0" encoding="utf-8"?>
<sst xmlns="http://schemas.openxmlformats.org/spreadsheetml/2006/main" count="231" uniqueCount="69">
  <si>
    <t>UW</t>
  </si>
  <si>
    <t>University of Washington Oceanography Technical Services</t>
  </si>
  <si>
    <t>School of Oceanography</t>
  </si>
  <si>
    <t>Katherine A. Krogslund, Manager</t>
  </si>
  <si>
    <t>University of Washington</t>
  </si>
  <si>
    <t>Phone:</t>
  </si>
  <si>
    <t>(206) 543-9235</t>
  </si>
  <si>
    <t>E-Mail:</t>
  </si>
  <si>
    <t>kkrog@u.washington.edu</t>
  </si>
  <si>
    <t>Date:</t>
  </si>
  <si>
    <t>Analyst:</t>
  </si>
  <si>
    <t>Dilution</t>
  </si>
  <si>
    <t>Fo</t>
  </si>
  <si>
    <t>Fa</t>
  </si>
  <si>
    <t>Chlorophyll</t>
  </si>
  <si>
    <t>Phaeopigment</t>
  </si>
  <si>
    <t>Fo/Fa</t>
  </si>
  <si>
    <t>Factor</t>
  </si>
  <si>
    <t>Ratio</t>
  </si>
  <si>
    <t xml:space="preserve"> </t>
  </si>
  <si>
    <t>Chlorophyll Sample Analyses, Turner Model TD700 Fluorometer</t>
  </si>
  <si>
    <t>Vol</t>
  </si>
  <si>
    <t>Fo/Fa Max</t>
  </si>
  <si>
    <t>K</t>
  </si>
  <si>
    <t>Box 355351</t>
  </si>
  <si>
    <t xml:space="preserve">Marine Chemistry Laboratory </t>
  </si>
  <si>
    <t>Filename:</t>
  </si>
  <si>
    <t>(L)</t>
  </si>
  <si>
    <t>Extraction</t>
  </si>
  <si>
    <t>Volume</t>
  </si>
  <si>
    <t>Filtered</t>
  </si>
  <si>
    <t>Multi-Optional Raw Fluorescence Mode</t>
  </si>
  <si>
    <t>Lini</t>
  </si>
  <si>
    <t>Seattle, WA  98105-5351</t>
  </si>
  <si>
    <t>aaronm@ocean.washington.edu</t>
  </si>
  <si>
    <t>(ug/L)</t>
  </si>
  <si>
    <t>Kini</t>
  </si>
  <si>
    <t>L today</t>
  </si>
  <si>
    <t>Adjusted K</t>
  </si>
  <si>
    <t>avg</t>
  </si>
  <si>
    <t>stdev</t>
  </si>
  <si>
    <t>cv</t>
  </si>
  <si>
    <t>aaron</t>
  </si>
  <si>
    <t>Aaron Morello</t>
  </si>
  <si>
    <t>KAK Fluorometer (23Feb15 Calibration)</t>
  </si>
  <si>
    <t>Cruise ID</t>
  </si>
  <si>
    <t>CTD/Dive #</t>
  </si>
  <si>
    <t>Niskin</t>
  </si>
  <si>
    <t>TN326</t>
  </si>
  <si>
    <t>B3</t>
  </si>
  <si>
    <t>B6</t>
  </si>
  <si>
    <t>B2</t>
  </si>
  <si>
    <t>B5</t>
  </si>
  <si>
    <t>B4</t>
  </si>
  <si>
    <t>B13</t>
  </si>
  <si>
    <t>R1849</t>
  </si>
  <si>
    <t>PF</t>
  </si>
  <si>
    <t>PA</t>
  </si>
  <si>
    <t>SF</t>
  </si>
  <si>
    <t>SA</t>
  </si>
  <si>
    <t>Depth (m)</t>
  </si>
  <si>
    <t>R1855</t>
  </si>
  <si>
    <t>R1859</t>
  </si>
  <si>
    <r>
      <rPr>
        <strike/>
        <sz val="10"/>
        <rFont val="Comic Sans MS"/>
      </rPr>
      <t>20</t>
    </r>
    <r>
      <rPr>
        <sz val="10"/>
        <rFont val="Comic Sans MS"/>
        <family val="4"/>
      </rPr>
      <t xml:space="preserve"> 16</t>
    </r>
  </si>
  <si>
    <r>
      <rPr>
        <strike/>
        <sz val="10"/>
        <rFont val="Comic Sans MS"/>
      </rPr>
      <t>35</t>
    </r>
    <r>
      <rPr>
        <sz val="10"/>
        <rFont val="Comic Sans MS"/>
        <family val="4"/>
      </rPr>
      <t xml:space="preserve"> B5</t>
    </r>
  </si>
  <si>
    <r>
      <rPr>
        <strike/>
        <sz val="9"/>
        <rFont val="Geneva"/>
      </rPr>
      <t>R1859</t>
    </r>
    <r>
      <rPr>
        <sz val="9"/>
        <rFont val="Geneva"/>
      </rPr>
      <t xml:space="preserve"> 22</t>
    </r>
  </si>
  <si>
    <r>
      <t>13</t>
    </r>
    <r>
      <rPr>
        <sz val="10"/>
        <rFont val="Comic Sans MS"/>
        <family val="4"/>
      </rPr>
      <t xml:space="preserve"> 18</t>
    </r>
  </si>
  <si>
    <r>
      <rPr>
        <strike/>
        <sz val="10"/>
        <rFont val="Comic Sans MS"/>
      </rPr>
      <t>22</t>
    </r>
    <r>
      <rPr>
        <sz val="10"/>
        <rFont val="Comic Sans MS"/>
        <family val="4"/>
      </rPr>
      <t xml:space="preserve"> 21</t>
    </r>
  </si>
  <si>
    <t xml:space="preserve"> Bottle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</si>
</sst>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 x14ac:knownFonts="1">
    <font>
      <sz val="10"/>
      <name val="Geneva"/>
    </font>
    <font>
      <sz val="9"/>
      <name val="Geneva"/>
    </font>
    <font>
      <sz val="48"/>
      <color indexed="28"/>
      <name val="Comic Sans MS"/>
      <family val="4"/>
    </font>
    <font>
      <sz val="10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sz val="12"/>
      <name val="Comic Sans MS"/>
      <family val="4"/>
    </font>
    <font>
      <i/>
      <sz val="10"/>
      <name val="Comic Sans MS"/>
      <family val="4"/>
    </font>
    <font>
      <sz val="9"/>
      <name val="Comic Sans MS"/>
      <family val="4"/>
    </font>
    <font>
      <sz val="9"/>
      <color indexed="39"/>
      <name val="Comic Sans MS"/>
      <family val="4"/>
    </font>
    <font>
      <sz val="14"/>
      <color indexed="28"/>
      <name val="Comic Sans MS"/>
      <family val="4"/>
    </font>
    <font>
      <sz val="10"/>
      <name val="Geneva"/>
    </font>
    <font>
      <u/>
      <sz val="10"/>
      <color theme="10"/>
      <name val="Geneva"/>
    </font>
    <font>
      <u/>
      <sz val="10"/>
      <color theme="11"/>
      <name val="Geneva"/>
    </font>
    <font>
      <sz val="8"/>
      <name val="Geneva"/>
    </font>
    <font>
      <strike/>
      <sz val="10"/>
      <name val="Comic Sans MS"/>
    </font>
    <font>
      <strike/>
      <sz val="9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  <border>
      <left/>
      <right/>
      <top/>
      <bottom style="double">
        <color auto="1"/>
      </bottom>
      <diagonal/>
    </border>
  </borders>
  <cellStyleXfs count="78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166" fontId="4" fillId="0" borderId="0" xfId="0" applyNumberFormat="1" applyFont="1"/>
    <xf numFmtId="0" fontId="5" fillId="0" borderId="0" xfId="0" applyFont="1"/>
    <xf numFmtId="165" fontId="4" fillId="0" borderId="0" xfId="0" applyNumberFormat="1" applyFont="1"/>
    <xf numFmtId="0" fontId="5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/>
    <xf numFmtId="0" fontId="6" fillId="0" borderId="0" xfId="0" applyFont="1"/>
    <xf numFmtId="0" fontId="7" fillId="0" borderId="0" xfId="0" applyFont="1"/>
    <xf numFmtId="165" fontId="3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left"/>
    </xf>
    <xf numFmtId="166" fontId="3" fillId="2" borderId="2" xfId="0" applyNumberFormat="1" applyFont="1" applyFill="1" applyBorder="1"/>
    <xf numFmtId="0" fontId="3" fillId="2" borderId="2" xfId="0" applyFont="1" applyFill="1" applyBorder="1" applyAlignment="1"/>
    <xf numFmtId="166" fontId="3" fillId="2" borderId="2" xfId="0" applyNumberFormat="1" applyFont="1" applyFill="1" applyBorder="1" applyAlignment="1">
      <alignment horizontal="right"/>
    </xf>
    <xf numFmtId="15" fontId="3" fillId="2" borderId="3" xfId="0" applyNumberFormat="1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166" fontId="3" fillId="2" borderId="0" xfId="0" applyNumberFormat="1" applyFont="1" applyFill="1" applyBorder="1"/>
    <xf numFmtId="0" fontId="3" fillId="2" borderId="0" xfId="0" applyFont="1" applyFill="1" applyBorder="1" applyAlignment="1"/>
    <xf numFmtId="166" fontId="3" fillId="2" borderId="0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6" fontId="3" fillId="2" borderId="4" xfId="0" applyNumberFormat="1" applyFont="1" applyFill="1" applyBorder="1"/>
    <xf numFmtId="1" fontId="3" fillId="2" borderId="0" xfId="0" applyNumberFormat="1" applyFont="1" applyFill="1" applyBorder="1" applyAlignment="1"/>
    <xf numFmtId="1" fontId="3" fillId="2" borderId="0" xfId="0" applyNumberFormat="1" applyFont="1" applyFill="1" applyBorder="1" applyAlignment="1">
      <alignment horizontal="right"/>
    </xf>
    <xf numFmtId="165" fontId="3" fillId="2" borderId="0" xfId="0" applyNumberFormat="1" applyFont="1" applyFill="1" applyBorder="1" applyAlignment="1">
      <alignment horizontal="right"/>
    </xf>
    <xf numFmtId="0" fontId="3" fillId="2" borderId="5" xfId="0" applyFont="1" applyFill="1" applyBorder="1"/>
    <xf numFmtId="0" fontId="3" fillId="2" borderId="6" xfId="0" applyFont="1" applyFill="1" applyBorder="1"/>
    <xf numFmtId="166" fontId="3" fillId="3" borderId="7" xfId="0" applyNumberFormat="1" applyFont="1" applyFill="1" applyBorder="1" applyAlignment="1">
      <alignment horizontal="right"/>
    </xf>
    <xf numFmtId="2" fontId="3" fillId="2" borderId="7" xfId="0" applyNumberFormat="1" applyFont="1" applyFill="1" applyBorder="1" applyAlignment="1"/>
    <xf numFmtId="2" fontId="3" fillId="2" borderId="7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2" borderId="8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6" fontId="8" fillId="0" borderId="0" xfId="0" applyNumberFormat="1" applyFont="1"/>
    <xf numFmtId="0" fontId="9" fillId="0" borderId="9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8" fillId="0" borderId="0" xfId="0" applyNumberFormat="1" applyFont="1"/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6" fontId="3" fillId="3" borderId="0" xfId="0" applyNumberFormat="1" applyFont="1" applyFill="1" applyAlignment="1">
      <alignment horizontal="right"/>
    </xf>
    <xf numFmtId="10" fontId="1" fillId="0" borderId="0" xfId="1" applyNumberFormat="1" applyFont="1"/>
    <xf numFmtId="2" fontId="1" fillId="0" borderId="0" xfId="0" applyNumberFormat="1" applyFont="1"/>
    <xf numFmtId="164" fontId="1" fillId="0" borderId="0" xfId="0" applyNumberFormat="1" applyFont="1"/>
    <xf numFmtId="0" fontId="5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7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0" fillId="4" borderId="0" xfId="0" applyFill="1"/>
    <xf numFmtId="0" fontId="9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</cellXfs>
  <cellStyles count="7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187"/>
  <sheetViews>
    <sheetView tabSelected="1" workbookViewId="0">
      <selection activeCell="I30" sqref="I30"/>
    </sheetView>
  </sheetViews>
  <sheetFormatPr baseColWidth="10" defaultColWidth="11.5703125" defaultRowHeight="13" x14ac:dyDescent="0"/>
  <cols>
    <col min="1" max="1" width="9.28515625" customWidth="1"/>
    <col min="2" max="2" width="8.85546875" customWidth="1"/>
    <col min="3" max="3" width="8.5703125" style="72" customWidth="1"/>
    <col min="4" max="4" width="7.28515625" style="83" customWidth="1"/>
    <col min="5" max="5" width="10.140625" style="72" customWidth="1"/>
    <col min="6" max="6" width="8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6" ht="68">
      <c r="A1" s="4" t="s">
        <v>0</v>
      </c>
      <c r="B1" s="5"/>
      <c r="C1" s="73" t="s">
        <v>1</v>
      </c>
      <c r="D1" s="58"/>
      <c r="E1" s="56"/>
      <c r="F1" s="5"/>
      <c r="G1" s="6"/>
      <c r="H1" s="6"/>
      <c r="I1" s="5"/>
      <c r="J1" s="5"/>
      <c r="K1" s="5"/>
      <c r="L1" s="5"/>
    </row>
    <row r="2" spans="1:16" ht="17">
      <c r="A2" s="7" t="s">
        <v>2</v>
      </c>
      <c r="B2" s="7"/>
      <c r="C2" s="74"/>
      <c r="D2" s="74"/>
      <c r="E2" s="75"/>
      <c r="F2" s="7" t="s">
        <v>25</v>
      </c>
      <c r="G2" s="10"/>
      <c r="H2" s="11"/>
      <c r="I2" s="9"/>
      <c r="J2" s="9"/>
      <c r="K2" s="5"/>
      <c r="L2" s="5"/>
    </row>
    <row r="3" spans="1:16" ht="17">
      <c r="A3" s="7" t="s">
        <v>24</v>
      </c>
      <c r="B3" s="7"/>
      <c r="C3" s="74"/>
      <c r="D3" s="74"/>
      <c r="E3" s="75"/>
      <c r="F3" s="8" t="s">
        <v>3</v>
      </c>
      <c r="G3" s="10"/>
      <c r="H3" s="11"/>
      <c r="I3" s="9"/>
      <c r="J3" s="9"/>
      <c r="K3" s="5"/>
      <c r="L3" s="5"/>
    </row>
    <row r="4" spans="1:16" ht="17">
      <c r="A4" s="7" t="s">
        <v>4</v>
      </c>
      <c r="B4" s="7"/>
      <c r="C4" s="75"/>
      <c r="D4" s="74"/>
      <c r="E4" s="75"/>
      <c r="F4" s="8" t="s">
        <v>43</v>
      </c>
      <c r="I4" s="9"/>
      <c r="J4" s="9"/>
      <c r="K4" s="5"/>
      <c r="L4" s="5"/>
    </row>
    <row r="5" spans="1:16" ht="18" thickBot="1">
      <c r="A5" s="7" t="s">
        <v>33</v>
      </c>
      <c r="B5" s="7"/>
      <c r="C5" s="74"/>
      <c r="D5" s="74"/>
      <c r="E5" s="75"/>
      <c r="G5" s="61" t="s">
        <v>5</v>
      </c>
      <c r="H5" s="12" t="s">
        <v>6</v>
      </c>
      <c r="I5" s="9"/>
      <c r="J5" s="70"/>
      <c r="K5" s="5"/>
      <c r="L5" s="5"/>
    </row>
    <row r="6" spans="1:16" ht="18" thickTop="1">
      <c r="B6" s="14"/>
      <c r="C6" s="76"/>
      <c r="D6" s="76"/>
      <c r="E6" s="56"/>
      <c r="G6" s="62" t="s">
        <v>7</v>
      </c>
      <c r="H6" s="13" t="s">
        <v>8</v>
      </c>
      <c r="I6" s="5"/>
      <c r="J6" s="5"/>
      <c r="K6" s="5"/>
      <c r="L6" s="5"/>
    </row>
    <row r="7" spans="1:16" ht="17">
      <c r="A7" s="5" t="s">
        <v>44</v>
      </c>
      <c r="B7" s="14"/>
      <c r="C7" s="76"/>
      <c r="D7" s="76"/>
      <c r="E7" s="56"/>
      <c r="F7" s="5"/>
      <c r="G7" s="5"/>
      <c r="H7" s="13" t="s">
        <v>34</v>
      </c>
      <c r="I7" s="5"/>
      <c r="J7" s="5"/>
      <c r="K7" s="5"/>
      <c r="L7" s="5"/>
    </row>
    <row r="8" spans="1:16" ht="16" thickBot="1">
      <c r="A8" s="15" t="s">
        <v>20</v>
      </c>
      <c r="B8" s="5"/>
      <c r="C8" s="77"/>
      <c r="D8" s="77"/>
      <c r="E8" s="77"/>
      <c r="F8" s="16"/>
      <c r="G8" s="6"/>
      <c r="H8" s="6" t="s">
        <v>31</v>
      </c>
      <c r="I8" s="5"/>
      <c r="J8" s="5"/>
      <c r="K8" s="5"/>
      <c r="L8" s="5"/>
    </row>
    <row r="9" spans="1:16" ht="16" thickTop="1">
      <c r="A9" s="17"/>
      <c r="B9" s="18"/>
      <c r="C9" s="78"/>
      <c r="D9" s="82"/>
      <c r="E9" s="82"/>
      <c r="F9" s="19"/>
      <c r="G9" s="20"/>
      <c r="H9" s="21"/>
      <c r="I9" s="21" t="s">
        <v>9</v>
      </c>
      <c r="J9" s="22"/>
      <c r="K9" s="5"/>
      <c r="L9" s="5"/>
      <c r="N9" s="86"/>
      <c r="O9" s="1"/>
    </row>
    <row r="10" spans="1:16" ht="15">
      <c r="A10" s="23"/>
      <c r="B10" s="24"/>
      <c r="C10" s="79"/>
      <c r="D10" s="80"/>
      <c r="E10" s="79"/>
      <c r="F10" s="25"/>
      <c r="G10" s="26"/>
      <c r="H10" s="27"/>
      <c r="I10" s="27" t="s">
        <v>10</v>
      </c>
      <c r="J10" s="28" t="s">
        <v>42</v>
      </c>
      <c r="K10" s="5"/>
      <c r="L10" s="5"/>
      <c r="O10" s="1"/>
    </row>
    <row r="11" spans="1:16" ht="15">
      <c r="A11" s="29" t="s">
        <v>22</v>
      </c>
      <c r="B11" s="66">
        <v>2.0011540819999998</v>
      </c>
      <c r="C11" s="80"/>
      <c r="D11" s="80"/>
      <c r="E11" s="84" t="s">
        <v>19</v>
      </c>
      <c r="F11" s="30"/>
      <c r="G11" s="30"/>
      <c r="H11" s="31"/>
      <c r="I11" s="32"/>
      <c r="J11" s="33" t="s">
        <v>19</v>
      </c>
      <c r="K11" s="5"/>
      <c r="L11" s="5"/>
      <c r="O11" s="1"/>
      <c r="P11" s="2"/>
    </row>
    <row r="12" spans="1:16" ht="16" thickBot="1">
      <c r="A12" s="34" t="s">
        <v>23</v>
      </c>
      <c r="B12" s="35" t="e">
        <f>Q24</f>
        <v>#DIV/0!</v>
      </c>
      <c r="C12" s="81"/>
      <c r="D12" s="81"/>
      <c r="E12" s="85"/>
      <c r="F12" s="36"/>
      <c r="G12" s="36"/>
      <c r="H12" s="37"/>
      <c r="I12" s="38" t="s">
        <v>26</v>
      </c>
      <c r="J12" s="39"/>
      <c r="K12" s="5"/>
      <c r="L12" s="5"/>
      <c r="O12" s="1"/>
    </row>
    <row r="13" spans="1:16" s="1" customFormat="1" ht="15" thickTop="1">
      <c r="C13" s="41"/>
      <c r="D13" s="41"/>
      <c r="E13" s="41"/>
      <c r="F13" s="42"/>
      <c r="G13" s="41"/>
      <c r="H13" s="41"/>
      <c r="I13" s="43"/>
      <c r="J13" s="43"/>
      <c r="K13" s="44"/>
      <c r="L13" s="41"/>
      <c r="M13" s="45"/>
      <c r="N13" s="46"/>
    </row>
    <row r="14" spans="1:16" s="1" customFormat="1" ht="14">
      <c r="C14" s="71"/>
      <c r="D14" s="71"/>
      <c r="E14" s="47"/>
      <c r="F14" s="47" t="s">
        <v>29</v>
      </c>
      <c r="G14" s="48" t="s">
        <v>28</v>
      </c>
      <c r="H14" s="47"/>
      <c r="I14" s="48"/>
      <c r="J14" s="48"/>
      <c r="K14" s="49"/>
      <c r="L14" s="47"/>
      <c r="M14" s="50"/>
      <c r="N14" s="46"/>
      <c r="O14" s="46"/>
      <c r="P14" s="46"/>
    </row>
    <row r="15" spans="1:16" s="1" customFormat="1" ht="14">
      <c r="C15" s="71"/>
      <c r="D15" s="71"/>
      <c r="E15" s="47"/>
      <c r="F15" s="47" t="s">
        <v>30</v>
      </c>
      <c r="G15" s="48" t="s">
        <v>21</v>
      </c>
      <c r="H15" s="47" t="s">
        <v>11</v>
      </c>
      <c r="I15" s="46"/>
      <c r="J15" s="46"/>
      <c r="K15" s="49" t="s">
        <v>14</v>
      </c>
      <c r="L15" s="47" t="s">
        <v>15</v>
      </c>
      <c r="M15" s="50" t="s">
        <v>16</v>
      </c>
      <c r="N15" s="46"/>
      <c r="O15" s="51"/>
      <c r="P15" s="46"/>
    </row>
    <row r="16" spans="1:16" s="1" customFormat="1" ht="15" thickBot="1">
      <c r="A16" s="52" t="s">
        <v>45</v>
      </c>
      <c r="B16" s="87" t="s">
        <v>46</v>
      </c>
      <c r="C16" s="52" t="s">
        <v>47</v>
      </c>
      <c r="D16" s="52" t="s">
        <v>60</v>
      </c>
      <c r="E16" s="87" t="s">
        <v>68</v>
      </c>
      <c r="F16" s="52" t="s">
        <v>27</v>
      </c>
      <c r="G16" s="53" t="s">
        <v>27</v>
      </c>
      <c r="H16" s="52" t="s">
        <v>17</v>
      </c>
      <c r="I16" s="53" t="s">
        <v>12</v>
      </c>
      <c r="J16" s="53" t="s">
        <v>13</v>
      </c>
      <c r="K16" s="54" t="s">
        <v>35</v>
      </c>
      <c r="L16" s="54" t="s">
        <v>35</v>
      </c>
      <c r="M16" s="55" t="s">
        <v>18</v>
      </c>
      <c r="N16" s="46"/>
      <c r="O16" s="63"/>
      <c r="P16" s="65"/>
    </row>
    <row r="17" spans="1:20" s="1" customFormat="1" ht="16" thickTop="1">
      <c r="A17" s="1" t="s">
        <v>48</v>
      </c>
      <c r="B17" s="88">
        <v>2</v>
      </c>
      <c r="C17" s="71">
        <v>1</v>
      </c>
      <c r="D17" s="71">
        <v>220</v>
      </c>
      <c r="E17" s="91" t="s">
        <v>49</v>
      </c>
      <c r="F17" s="57">
        <v>0.49</v>
      </c>
      <c r="G17" s="57">
        <v>0.01</v>
      </c>
      <c r="H17" s="56">
        <v>1</v>
      </c>
      <c r="I17" s="58"/>
      <c r="J17" s="58"/>
      <c r="K17" s="57" t="e">
        <f t="shared" ref="K17" si="0">($B$12)*($B$11)/($B$11-1)*(I17-J17)*(G17)/(F17)*(H17)</f>
        <v>#DIV/0!</v>
      </c>
      <c r="L17" s="57" t="e">
        <f t="shared" ref="L17" si="1">($B$12)*($B$11)/($B$11-1)*(($B$11*J17)-I17)*(G17)/(F17)*(H17)</f>
        <v>#DIV/0!</v>
      </c>
      <c r="M17" s="59" t="e">
        <f t="shared" ref="M17" si="2">$I17/$J17</f>
        <v>#DIV/0!</v>
      </c>
      <c r="N17" s="44"/>
      <c r="O17" s="63"/>
      <c r="P17" s="63" t="s">
        <v>32</v>
      </c>
      <c r="Q17" s="65">
        <v>160.99</v>
      </c>
    </row>
    <row r="18" spans="1:20" s="1" customFormat="1" ht="15">
      <c r="A18" s="1" t="s">
        <v>48</v>
      </c>
      <c r="B18" s="88">
        <v>2</v>
      </c>
      <c r="C18" s="71">
        <v>3</v>
      </c>
      <c r="D18" s="71">
        <v>200</v>
      </c>
      <c r="E18" s="91" t="s">
        <v>50</v>
      </c>
      <c r="F18" s="57">
        <v>0.5</v>
      </c>
      <c r="G18" s="57">
        <v>0.01</v>
      </c>
      <c r="H18" s="56">
        <v>1</v>
      </c>
      <c r="I18" s="58"/>
      <c r="J18" s="58"/>
      <c r="K18" s="57" t="e">
        <f t="shared" ref="K18" si="3">($B$12)*($B$11)/($B$11-1)*(I18-J18)*(G18)/(F18)*(H18)</f>
        <v>#DIV/0!</v>
      </c>
      <c r="L18" s="57" t="e">
        <f t="shared" ref="L18" si="4">($B$12)*($B$11)/($B$11-1)*(($B$11*J18)-I18)*(G18)/(F18)*(H18)</f>
        <v>#DIV/0!</v>
      </c>
      <c r="M18" s="59" t="e">
        <f t="shared" ref="M18:M80" si="5">$I18/$J18</f>
        <v>#DIV/0!</v>
      </c>
      <c r="N18" s="46"/>
      <c r="O18" s="63"/>
      <c r="P18" s="63" t="s">
        <v>36</v>
      </c>
      <c r="Q18" s="40">
        <v>0.12112933300000001</v>
      </c>
    </row>
    <row r="19" spans="1:20" s="1" customFormat="1" ht="15">
      <c r="A19" s="1" t="s">
        <v>48</v>
      </c>
      <c r="B19" s="88">
        <v>2</v>
      </c>
      <c r="C19" s="71">
        <v>5</v>
      </c>
      <c r="D19" s="71">
        <v>180</v>
      </c>
      <c r="E19" s="91" t="s">
        <v>51</v>
      </c>
      <c r="F19" s="57">
        <v>0.5</v>
      </c>
      <c r="G19" s="57">
        <v>0.01</v>
      </c>
      <c r="H19" s="56">
        <v>1</v>
      </c>
      <c r="I19" s="58"/>
      <c r="J19" s="58"/>
      <c r="K19" s="57" t="e">
        <f t="shared" ref="K19:K37" si="6">($B$12)*($B$11)/($B$11-1)*(I19-J19)*(G19)/(F19)*(H19)</f>
        <v>#DIV/0!</v>
      </c>
      <c r="L19" s="57" t="e">
        <f t="shared" ref="L19:L37" si="7">($B$12)*($B$11)/($B$11-1)*(($B$11*J19)-I19)*(G19)/(F19)*(H19)</f>
        <v>#DIV/0!</v>
      </c>
      <c r="M19" s="59" t="e">
        <f t="shared" si="5"/>
        <v>#DIV/0!</v>
      </c>
      <c r="N19" s="46"/>
      <c r="O19" s="63"/>
      <c r="P19" s="63"/>
      <c r="Q19" s="40"/>
    </row>
    <row r="20" spans="1:20" s="1" customFormat="1" ht="15">
      <c r="A20" s="1" t="s">
        <v>48</v>
      </c>
      <c r="B20" s="88">
        <v>2</v>
      </c>
      <c r="C20" s="71">
        <v>7</v>
      </c>
      <c r="D20" s="71">
        <v>160</v>
      </c>
      <c r="E20" s="91">
        <v>19</v>
      </c>
      <c r="F20" s="57">
        <v>0.5</v>
      </c>
      <c r="G20" s="57">
        <v>0.01</v>
      </c>
      <c r="H20" s="56">
        <v>1</v>
      </c>
      <c r="I20" s="58"/>
      <c r="J20" s="58"/>
      <c r="K20" s="57" t="e">
        <f t="shared" si="6"/>
        <v>#DIV/0!</v>
      </c>
      <c r="L20" s="57" t="e">
        <f t="shared" si="7"/>
        <v>#DIV/0!</v>
      </c>
      <c r="M20" s="59" t="e">
        <f t="shared" si="5"/>
        <v>#DIV/0!</v>
      </c>
      <c r="N20" s="46"/>
      <c r="O20" s="63"/>
      <c r="P20" s="63"/>
      <c r="Q20" s="40"/>
    </row>
    <row r="21" spans="1:20" s="1" customFormat="1" ht="15">
      <c r="A21" s="1" t="s">
        <v>48</v>
      </c>
      <c r="B21" s="88">
        <v>2</v>
      </c>
      <c r="C21" s="71">
        <v>9</v>
      </c>
      <c r="D21" s="71">
        <v>140</v>
      </c>
      <c r="E21" s="91">
        <v>16</v>
      </c>
      <c r="F21" s="57">
        <v>0.5</v>
      </c>
      <c r="G21" s="57">
        <v>0.01</v>
      </c>
      <c r="H21" s="56">
        <v>1</v>
      </c>
      <c r="I21" s="58"/>
      <c r="J21" s="58"/>
      <c r="K21" s="57" t="e">
        <f t="shared" si="6"/>
        <v>#DIV/0!</v>
      </c>
      <c r="L21" s="57" t="e">
        <f t="shared" si="7"/>
        <v>#DIV/0!</v>
      </c>
      <c r="M21" s="59" t="e">
        <f t="shared" si="5"/>
        <v>#DIV/0!</v>
      </c>
      <c r="N21" s="60"/>
      <c r="O21" s="63"/>
      <c r="P21" s="63" t="s">
        <v>37</v>
      </c>
      <c r="Q21" s="65" t="e">
        <f>S21</f>
        <v>#DIV/0!</v>
      </c>
      <c r="R21" s="69"/>
      <c r="S21" s="69" t="e">
        <f>AVERAGE(O2:O20)</f>
        <v>#DIV/0!</v>
      </c>
      <c r="T21" s="1" t="s">
        <v>39</v>
      </c>
    </row>
    <row r="22" spans="1:20" s="1" customFormat="1" ht="15">
      <c r="A22" s="1" t="s">
        <v>48</v>
      </c>
      <c r="B22" s="88">
        <v>2</v>
      </c>
      <c r="C22" s="71">
        <v>11</v>
      </c>
      <c r="D22" s="71">
        <v>120</v>
      </c>
      <c r="E22" s="91">
        <v>12</v>
      </c>
      <c r="F22" s="57">
        <v>0.5</v>
      </c>
      <c r="G22" s="57">
        <v>0.01</v>
      </c>
      <c r="H22" s="56">
        <v>1</v>
      </c>
      <c r="I22" s="58"/>
      <c r="J22" s="58"/>
      <c r="K22" s="57" t="e">
        <f t="shared" si="6"/>
        <v>#DIV/0!</v>
      </c>
      <c r="L22" s="57" t="e">
        <f t="shared" si="7"/>
        <v>#DIV/0!</v>
      </c>
      <c r="M22" s="59" t="e">
        <f t="shared" si="5"/>
        <v>#DIV/0!</v>
      </c>
      <c r="N22" s="46"/>
      <c r="O22" s="63"/>
      <c r="P22" s="63"/>
      <c r="Q22" s="64"/>
      <c r="S22" s="68" t="e">
        <f>STDEV(O2:O18)</f>
        <v>#DIV/0!</v>
      </c>
      <c r="T22" s="1" t="s">
        <v>40</v>
      </c>
    </row>
    <row r="23" spans="1:20" s="1" customFormat="1" ht="15">
      <c r="A23" s="1" t="s">
        <v>48</v>
      </c>
      <c r="B23" s="88">
        <v>2</v>
      </c>
      <c r="C23" s="71">
        <v>13</v>
      </c>
      <c r="D23" s="71">
        <v>100</v>
      </c>
      <c r="E23" s="91">
        <v>23</v>
      </c>
      <c r="F23" s="57">
        <v>0.5</v>
      </c>
      <c r="G23" s="57">
        <v>0.01</v>
      </c>
      <c r="H23" s="56">
        <v>1</v>
      </c>
      <c r="I23" s="58"/>
      <c r="J23" s="58"/>
      <c r="K23" s="57" t="e">
        <f t="shared" si="6"/>
        <v>#DIV/0!</v>
      </c>
      <c r="L23" s="57" t="e">
        <f t="shared" si="7"/>
        <v>#DIV/0!</v>
      </c>
      <c r="M23" s="59" t="e">
        <f t="shared" si="5"/>
        <v>#DIV/0!</v>
      </c>
      <c r="N23" s="46"/>
      <c r="O23" s="63"/>
      <c r="P23" s="63"/>
      <c r="Q23" s="40"/>
      <c r="S23" s="67" t="e">
        <f>S22/S21</f>
        <v>#DIV/0!</v>
      </c>
      <c r="T23" s="1" t="s">
        <v>41</v>
      </c>
    </row>
    <row r="24" spans="1:20" s="1" customFormat="1" ht="15">
      <c r="A24" s="1" t="s">
        <v>48</v>
      </c>
      <c r="B24" s="88">
        <v>2</v>
      </c>
      <c r="C24" s="71">
        <v>15</v>
      </c>
      <c r="D24" s="71">
        <v>80</v>
      </c>
      <c r="E24" s="91">
        <v>36</v>
      </c>
      <c r="F24" s="57">
        <v>0.5</v>
      </c>
      <c r="G24" s="57">
        <v>0.01</v>
      </c>
      <c r="H24" s="56">
        <v>1</v>
      </c>
      <c r="I24" s="58"/>
      <c r="J24" s="58"/>
      <c r="K24" s="57" t="e">
        <f t="shared" si="6"/>
        <v>#DIV/0!</v>
      </c>
      <c r="L24" s="57" t="e">
        <f t="shared" si="7"/>
        <v>#DIV/0!</v>
      </c>
      <c r="M24" s="59" t="e">
        <f t="shared" si="5"/>
        <v>#DIV/0!</v>
      </c>
      <c r="N24" s="46"/>
      <c r="O24" s="46"/>
      <c r="P24" s="63" t="s">
        <v>38</v>
      </c>
      <c r="Q24" s="40" t="e">
        <f>(Q17/Q21)*Q18</f>
        <v>#DIV/0!</v>
      </c>
    </row>
    <row r="25" spans="1:20" s="1" customFormat="1" ht="15">
      <c r="A25" s="1" t="s">
        <v>48</v>
      </c>
      <c r="B25" s="88">
        <v>2</v>
      </c>
      <c r="C25" s="71">
        <v>17</v>
      </c>
      <c r="D25" s="71">
        <v>60</v>
      </c>
      <c r="E25" s="91" t="s">
        <v>52</v>
      </c>
      <c r="F25" s="57">
        <v>0.5</v>
      </c>
      <c r="G25" s="57">
        <v>0.01</v>
      </c>
      <c r="H25" s="56">
        <v>1</v>
      </c>
      <c r="I25" s="58"/>
      <c r="J25" s="58"/>
      <c r="K25" s="57" t="e">
        <f t="shared" si="6"/>
        <v>#DIV/0!</v>
      </c>
      <c r="L25" s="57" t="e">
        <f t="shared" si="7"/>
        <v>#DIV/0!</v>
      </c>
      <c r="M25" s="59" t="e">
        <f t="shared" si="5"/>
        <v>#DIV/0!</v>
      </c>
      <c r="N25" s="46"/>
      <c r="O25" s="46"/>
      <c r="P25" s="46"/>
    </row>
    <row r="26" spans="1:20" s="1" customFormat="1" ht="15">
      <c r="A26" s="1" t="s">
        <v>48</v>
      </c>
      <c r="B26" s="88">
        <v>2</v>
      </c>
      <c r="C26" s="71">
        <v>19</v>
      </c>
      <c r="D26" s="71">
        <v>40</v>
      </c>
      <c r="E26" s="91">
        <v>24</v>
      </c>
      <c r="F26" s="57">
        <v>0.47499999999999998</v>
      </c>
      <c r="G26" s="57">
        <v>0.01</v>
      </c>
      <c r="H26" s="56">
        <v>1</v>
      </c>
      <c r="I26" s="58"/>
      <c r="J26" s="58"/>
      <c r="K26" s="57" t="e">
        <f t="shared" si="6"/>
        <v>#DIV/0!</v>
      </c>
      <c r="L26" s="57" t="e">
        <f t="shared" si="7"/>
        <v>#DIV/0!</v>
      </c>
      <c r="M26" s="59" t="e">
        <f t="shared" si="5"/>
        <v>#DIV/0!</v>
      </c>
      <c r="N26" s="46"/>
      <c r="O26" s="46"/>
      <c r="P26" s="46"/>
    </row>
    <row r="27" spans="1:20" s="1" customFormat="1" ht="15">
      <c r="A27" s="1" t="s">
        <v>48</v>
      </c>
      <c r="B27" s="88">
        <v>2</v>
      </c>
      <c r="C27" s="71">
        <v>22</v>
      </c>
      <c r="D27" s="71">
        <v>20</v>
      </c>
      <c r="E27" s="91">
        <v>21</v>
      </c>
      <c r="F27" s="57">
        <v>0.5</v>
      </c>
      <c r="G27" s="57">
        <v>0.01</v>
      </c>
      <c r="H27" s="56">
        <v>1</v>
      </c>
      <c r="I27" s="58"/>
      <c r="J27" s="58"/>
      <c r="K27" s="57" t="e">
        <f t="shared" ref="K27" si="8">($B$12)*($B$11)/($B$11-1)*(I27-J27)*(G27)/(F27)*(H27)</f>
        <v>#DIV/0!</v>
      </c>
      <c r="L27" s="57" t="e">
        <f t="shared" ref="L27" si="9">($B$12)*($B$11)/($B$11-1)*(($B$11*J27)-I27)*(G27)/(F27)*(H27)</f>
        <v>#DIV/0!</v>
      </c>
      <c r="M27" s="59" t="e">
        <f t="shared" si="5"/>
        <v>#DIV/0!</v>
      </c>
      <c r="N27"/>
      <c r="O27" s="46"/>
      <c r="P27" s="46"/>
    </row>
    <row r="28" spans="1:20" s="1" customFormat="1" ht="15">
      <c r="A28" s="1" t="s">
        <v>48</v>
      </c>
      <c r="B28" s="88">
        <v>2</v>
      </c>
      <c r="C28" s="71">
        <v>23</v>
      </c>
      <c r="D28" s="71">
        <v>10</v>
      </c>
      <c r="E28" s="91" t="s">
        <v>53</v>
      </c>
      <c r="F28" s="57">
        <v>0.5</v>
      </c>
      <c r="G28" s="57">
        <v>0.01</v>
      </c>
      <c r="H28" s="56">
        <v>1</v>
      </c>
      <c r="I28" s="58"/>
      <c r="J28" s="58"/>
      <c r="K28" s="57" t="e">
        <f t="shared" si="6"/>
        <v>#DIV/0!</v>
      </c>
      <c r="L28" s="57" t="e">
        <f t="shared" si="7"/>
        <v>#DIV/0!</v>
      </c>
      <c r="M28" s="59" t="e">
        <f t="shared" si="5"/>
        <v>#DIV/0!</v>
      </c>
      <c r="N28"/>
      <c r="O28" s="46"/>
      <c r="P28" s="46"/>
    </row>
    <row r="29" spans="1:20" ht="15">
      <c r="B29" s="86"/>
      <c r="D29" s="72"/>
      <c r="E29" s="91"/>
      <c r="F29" s="57"/>
      <c r="G29" s="57"/>
      <c r="H29" s="56"/>
      <c r="I29" s="58"/>
      <c r="J29" s="58"/>
      <c r="K29" s="57"/>
      <c r="L29" s="57"/>
      <c r="M29" s="59"/>
      <c r="O29" s="5"/>
      <c r="P29" s="5"/>
    </row>
    <row r="30" spans="1:20" ht="15">
      <c r="A30" s="1" t="s">
        <v>48</v>
      </c>
      <c r="B30" s="88">
        <v>3</v>
      </c>
      <c r="C30" s="71">
        <v>2</v>
      </c>
      <c r="D30" s="71">
        <v>220</v>
      </c>
      <c r="E30" s="91" t="s">
        <v>53</v>
      </c>
      <c r="F30" s="57">
        <v>0.5</v>
      </c>
      <c r="G30" s="57">
        <v>0.01</v>
      </c>
      <c r="H30" s="56">
        <v>1</v>
      </c>
      <c r="I30" s="58"/>
      <c r="J30" s="58"/>
      <c r="K30" s="57" t="e">
        <f t="shared" si="6"/>
        <v>#DIV/0!</v>
      </c>
      <c r="L30" s="57" t="e">
        <f t="shared" si="7"/>
        <v>#DIV/0!</v>
      </c>
      <c r="M30" s="59" t="e">
        <f t="shared" si="5"/>
        <v>#DIV/0!</v>
      </c>
      <c r="O30" s="5"/>
      <c r="P30" s="5"/>
    </row>
    <row r="31" spans="1:20" ht="15">
      <c r="A31" s="1" t="s">
        <v>48</v>
      </c>
      <c r="B31" s="88">
        <v>3</v>
      </c>
      <c r="C31" s="71">
        <v>4</v>
      </c>
      <c r="D31" s="71">
        <v>200</v>
      </c>
      <c r="E31" s="91" t="s">
        <v>49</v>
      </c>
      <c r="F31" s="57">
        <v>0.4</v>
      </c>
      <c r="G31" s="57">
        <v>0.01</v>
      </c>
      <c r="H31" s="56">
        <v>1</v>
      </c>
      <c r="I31" s="58"/>
      <c r="J31" s="58"/>
      <c r="K31" s="57" t="e">
        <f t="shared" si="6"/>
        <v>#DIV/0!</v>
      </c>
      <c r="L31" s="57" t="e">
        <f t="shared" si="7"/>
        <v>#DIV/0!</v>
      </c>
      <c r="M31" s="59" t="e">
        <f t="shared" si="5"/>
        <v>#DIV/0!</v>
      </c>
      <c r="O31" s="5"/>
      <c r="P31" s="5"/>
    </row>
    <row r="32" spans="1:20" ht="15">
      <c r="A32" s="1" t="s">
        <v>48</v>
      </c>
      <c r="B32" s="88">
        <v>3</v>
      </c>
      <c r="C32" s="71">
        <v>6</v>
      </c>
      <c r="D32" s="71">
        <v>180</v>
      </c>
      <c r="E32" s="91">
        <v>19</v>
      </c>
      <c r="F32" s="57">
        <v>0.5</v>
      </c>
      <c r="G32" s="57">
        <v>0.01</v>
      </c>
      <c r="H32" s="56">
        <v>1</v>
      </c>
      <c r="I32" s="58"/>
      <c r="J32" s="58"/>
      <c r="K32" s="57" t="e">
        <f t="shared" si="6"/>
        <v>#DIV/0!</v>
      </c>
      <c r="L32" s="57" t="e">
        <f t="shared" si="7"/>
        <v>#DIV/0!</v>
      </c>
      <c r="M32" s="59" t="e">
        <f t="shared" si="5"/>
        <v>#DIV/0!</v>
      </c>
      <c r="O32" s="5"/>
      <c r="P32" s="5"/>
    </row>
    <row r="33" spans="1:17" ht="15">
      <c r="A33" s="1" t="s">
        <v>48</v>
      </c>
      <c r="B33" s="88">
        <v>3</v>
      </c>
      <c r="C33" s="71">
        <v>8</v>
      </c>
      <c r="D33" s="71">
        <v>160</v>
      </c>
      <c r="E33" s="91">
        <v>36</v>
      </c>
      <c r="F33" s="57">
        <v>0.5</v>
      </c>
      <c r="G33" s="57">
        <v>0.01</v>
      </c>
      <c r="H33" s="56">
        <v>1</v>
      </c>
      <c r="I33" s="58"/>
      <c r="J33" s="58"/>
      <c r="K33" s="57" t="e">
        <f t="shared" si="6"/>
        <v>#DIV/0!</v>
      </c>
      <c r="L33" s="57" t="e">
        <f t="shared" si="7"/>
        <v>#DIV/0!</v>
      </c>
      <c r="M33" s="59" t="e">
        <f t="shared" si="5"/>
        <v>#DIV/0!</v>
      </c>
      <c r="O33" s="5"/>
      <c r="P33" s="5"/>
    </row>
    <row r="34" spans="1:17" s="1" customFormat="1" ht="15">
      <c r="A34" s="1" t="s">
        <v>48</v>
      </c>
      <c r="B34" s="88">
        <v>3</v>
      </c>
      <c r="C34" s="71">
        <v>10</v>
      </c>
      <c r="D34" s="71">
        <v>140</v>
      </c>
      <c r="E34" s="91">
        <v>21</v>
      </c>
      <c r="F34" s="57">
        <v>0.5</v>
      </c>
      <c r="G34" s="57">
        <v>0.01</v>
      </c>
      <c r="H34" s="56">
        <v>1</v>
      </c>
      <c r="I34" s="58"/>
      <c r="J34" s="58"/>
      <c r="K34" s="57" t="e">
        <f t="shared" si="6"/>
        <v>#DIV/0!</v>
      </c>
      <c r="L34" s="57" t="e">
        <f t="shared" si="7"/>
        <v>#DIV/0!</v>
      </c>
      <c r="M34" s="59" t="e">
        <f t="shared" si="5"/>
        <v>#DIV/0!</v>
      </c>
      <c r="N34"/>
      <c r="O34" s="46"/>
      <c r="P34" s="46"/>
    </row>
    <row r="35" spans="1:17" s="1" customFormat="1" ht="15">
      <c r="A35" s="1" t="s">
        <v>48</v>
      </c>
      <c r="B35" s="88">
        <v>3</v>
      </c>
      <c r="C35" s="71">
        <v>12</v>
      </c>
      <c r="D35" s="71">
        <v>120</v>
      </c>
      <c r="E35" s="91">
        <v>12</v>
      </c>
      <c r="F35" s="57">
        <v>0.5</v>
      </c>
      <c r="G35" s="57">
        <v>0.01</v>
      </c>
      <c r="H35" s="56">
        <v>1</v>
      </c>
      <c r="I35" s="58"/>
      <c r="J35" s="58"/>
      <c r="K35" s="57" t="e">
        <f t="shared" si="6"/>
        <v>#DIV/0!</v>
      </c>
      <c r="L35" s="57" t="e">
        <f t="shared" si="7"/>
        <v>#DIV/0!</v>
      </c>
      <c r="M35" s="59" t="e">
        <f t="shared" si="5"/>
        <v>#DIV/0!</v>
      </c>
      <c r="N35"/>
      <c r="O35" s="46"/>
      <c r="P35" s="46"/>
    </row>
    <row r="36" spans="1:17" s="1" customFormat="1" ht="15">
      <c r="A36" s="1" t="s">
        <v>48</v>
      </c>
      <c r="B36" s="88">
        <v>3</v>
      </c>
      <c r="C36" s="71">
        <v>14</v>
      </c>
      <c r="D36" s="71">
        <v>100</v>
      </c>
      <c r="E36" s="91" t="s">
        <v>51</v>
      </c>
      <c r="F36" s="57">
        <v>0.5</v>
      </c>
      <c r="G36" s="57">
        <v>0.01</v>
      </c>
      <c r="H36" s="56">
        <v>1</v>
      </c>
      <c r="I36" s="58"/>
      <c r="J36" s="58"/>
      <c r="K36" s="57" t="e">
        <f t="shared" si="6"/>
        <v>#DIV/0!</v>
      </c>
      <c r="L36" s="57" t="e">
        <f t="shared" si="7"/>
        <v>#DIV/0!</v>
      </c>
      <c r="M36" s="59" t="e">
        <f t="shared" si="5"/>
        <v>#DIV/0!</v>
      </c>
      <c r="N36"/>
      <c r="O36"/>
      <c r="P36"/>
      <c r="Q36"/>
    </row>
    <row r="37" spans="1:17" s="1" customFormat="1" ht="15">
      <c r="A37" s="1" t="s">
        <v>48</v>
      </c>
      <c r="B37" s="88">
        <v>3</v>
      </c>
      <c r="C37" s="71">
        <v>16</v>
      </c>
      <c r="D37" s="71">
        <v>80</v>
      </c>
      <c r="E37" s="91">
        <v>16</v>
      </c>
      <c r="F37" s="57">
        <v>0.5</v>
      </c>
      <c r="G37" s="57">
        <v>0.01</v>
      </c>
      <c r="H37" s="56">
        <v>1</v>
      </c>
      <c r="I37" s="58"/>
      <c r="J37" s="58"/>
      <c r="K37" s="57" t="e">
        <f t="shared" si="6"/>
        <v>#DIV/0!</v>
      </c>
      <c r="L37" s="57" t="e">
        <f t="shared" si="7"/>
        <v>#DIV/0!</v>
      </c>
      <c r="M37" s="59" t="e">
        <f t="shared" si="5"/>
        <v>#DIV/0!</v>
      </c>
      <c r="N37"/>
      <c r="O37"/>
      <c r="P37"/>
      <c r="Q37"/>
    </row>
    <row r="38" spans="1:17" s="1" customFormat="1" ht="15">
      <c r="A38" s="1" t="s">
        <v>48</v>
      </c>
      <c r="B38" s="88">
        <v>3</v>
      </c>
      <c r="C38" s="71">
        <v>18</v>
      </c>
      <c r="D38" s="71">
        <v>60</v>
      </c>
      <c r="E38" s="91" t="s">
        <v>50</v>
      </c>
      <c r="F38" s="57">
        <v>0.5</v>
      </c>
      <c r="G38" s="57">
        <v>0.01</v>
      </c>
      <c r="H38" s="56">
        <v>1</v>
      </c>
      <c r="I38" s="58"/>
      <c r="J38" s="58"/>
      <c r="K38" s="57" t="e">
        <f t="shared" ref="K38:K101" si="10">($B$12)*($B$11)/($B$11-1)*(I38-J38)*(G38)/(F38)*(H38)</f>
        <v>#DIV/0!</v>
      </c>
      <c r="L38" s="57" t="e">
        <f t="shared" ref="L38:L101" si="11">($B$12)*($B$11)/($B$11-1)*(($B$11*J38)-I38)*(G38)/(F38)*(H38)</f>
        <v>#DIV/0!</v>
      </c>
      <c r="M38" s="59" t="e">
        <f t="shared" si="5"/>
        <v>#DIV/0!</v>
      </c>
      <c r="N38"/>
      <c r="O38"/>
      <c r="P38"/>
      <c r="Q38"/>
    </row>
    <row r="39" spans="1:17" s="1" customFormat="1" ht="15">
      <c r="A39" s="1" t="s">
        <v>48</v>
      </c>
      <c r="B39" s="88">
        <v>3</v>
      </c>
      <c r="C39" s="71">
        <v>20</v>
      </c>
      <c r="D39" s="71">
        <v>40</v>
      </c>
      <c r="E39" s="91">
        <v>24</v>
      </c>
      <c r="F39" s="57">
        <v>0.45500000000000002</v>
      </c>
      <c r="G39" s="57">
        <v>0.01</v>
      </c>
      <c r="H39" s="56">
        <v>1</v>
      </c>
      <c r="I39" s="58"/>
      <c r="J39" s="58"/>
      <c r="K39" s="57" t="e">
        <f t="shared" si="10"/>
        <v>#DIV/0!</v>
      </c>
      <c r="L39" s="57" t="e">
        <f t="shared" si="11"/>
        <v>#DIV/0!</v>
      </c>
      <c r="M39" s="59" t="e">
        <f t="shared" si="5"/>
        <v>#DIV/0!</v>
      </c>
      <c r="N39"/>
      <c r="O39"/>
      <c r="P39"/>
      <c r="Q39"/>
    </row>
    <row r="40" spans="1:17" s="1" customFormat="1" ht="15">
      <c r="A40" s="1" t="s">
        <v>48</v>
      </c>
      <c r="B40" s="88">
        <v>3</v>
      </c>
      <c r="C40" s="71">
        <v>22</v>
      </c>
      <c r="D40" s="71">
        <v>20</v>
      </c>
      <c r="E40" s="91">
        <v>23</v>
      </c>
      <c r="F40" s="57">
        <v>0.5</v>
      </c>
      <c r="G40" s="57">
        <v>0.01</v>
      </c>
      <c r="H40" s="56">
        <v>1</v>
      </c>
      <c r="I40" s="58"/>
      <c r="J40" s="58"/>
      <c r="K40" s="57" t="e">
        <f t="shared" si="10"/>
        <v>#DIV/0!</v>
      </c>
      <c r="L40" s="57" t="e">
        <f t="shared" si="11"/>
        <v>#DIV/0!</v>
      </c>
      <c r="M40" s="59" t="e">
        <f t="shared" si="5"/>
        <v>#DIV/0!</v>
      </c>
      <c r="N40"/>
      <c r="O40"/>
      <c r="P40"/>
      <c r="Q40"/>
    </row>
    <row r="41" spans="1:17" s="1" customFormat="1" ht="15">
      <c r="A41" s="1" t="s">
        <v>48</v>
      </c>
      <c r="B41" s="88">
        <v>3</v>
      </c>
      <c r="C41" s="71">
        <v>24</v>
      </c>
      <c r="D41" s="71">
        <v>10</v>
      </c>
      <c r="E41" s="91" t="s">
        <v>52</v>
      </c>
      <c r="F41" s="57">
        <v>0.44500000000000001</v>
      </c>
      <c r="G41" s="57">
        <v>0.01</v>
      </c>
      <c r="H41" s="56">
        <v>1</v>
      </c>
      <c r="I41" s="58"/>
      <c r="J41" s="58"/>
      <c r="K41" s="57" t="e">
        <f t="shared" si="10"/>
        <v>#DIV/0!</v>
      </c>
      <c r="L41" s="57" t="e">
        <f t="shared" si="11"/>
        <v>#DIV/0!</v>
      </c>
      <c r="M41" s="59" t="e">
        <f t="shared" si="5"/>
        <v>#DIV/0!</v>
      </c>
      <c r="N41"/>
      <c r="O41"/>
      <c r="P41"/>
      <c r="Q41"/>
    </row>
    <row r="42" spans="1:17" s="1" customFormat="1" ht="15">
      <c r="B42" s="89"/>
      <c r="C42" s="71"/>
      <c r="D42" s="71"/>
      <c r="E42" s="91"/>
      <c r="F42" s="57"/>
      <c r="G42" s="57"/>
      <c r="H42" s="56"/>
      <c r="I42" s="58"/>
      <c r="J42" s="58"/>
      <c r="K42" s="57"/>
      <c r="L42" s="57"/>
      <c r="M42" s="59"/>
      <c r="N42"/>
      <c r="O42"/>
      <c r="P42"/>
      <c r="Q42"/>
    </row>
    <row r="43" spans="1:17" s="1" customFormat="1" ht="15">
      <c r="A43" s="1" t="s">
        <v>48</v>
      </c>
      <c r="B43" s="88">
        <v>4</v>
      </c>
      <c r="C43" s="71">
        <v>2</v>
      </c>
      <c r="D43" s="71">
        <v>220</v>
      </c>
      <c r="E43" s="91">
        <v>25</v>
      </c>
      <c r="F43" s="57">
        <v>0.5</v>
      </c>
      <c r="G43" s="57">
        <v>0.01</v>
      </c>
      <c r="H43" s="56">
        <v>1</v>
      </c>
      <c r="I43" s="58"/>
      <c r="J43" s="58"/>
      <c r="K43" s="57" t="e">
        <f t="shared" si="10"/>
        <v>#DIV/0!</v>
      </c>
      <c r="L43" s="57" t="e">
        <f t="shared" si="11"/>
        <v>#DIV/0!</v>
      </c>
      <c r="M43" s="59" t="e">
        <f t="shared" si="5"/>
        <v>#DIV/0!</v>
      </c>
      <c r="N43"/>
      <c r="O43"/>
      <c r="P43"/>
      <c r="Q43"/>
    </row>
    <row r="44" spans="1:17" s="1" customFormat="1" ht="15">
      <c r="A44" s="1" t="s">
        <v>48</v>
      </c>
      <c r="B44" s="88">
        <v>4</v>
      </c>
      <c r="C44" s="71">
        <v>4</v>
      </c>
      <c r="D44" s="71">
        <v>200</v>
      </c>
      <c r="E44" s="91">
        <v>20</v>
      </c>
      <c r="F44" s="57">
        <v>0.5</v>
      </c>
      <c r="G44" s="57">
        <v>0.01</v>
      </c>
      <c r="H44" s="56">
        <v>1</v>
      </c>
      <c r="I44" s="58"/>
      <c r="J44" s="58"/>
      <c r="K44" s="57" t="e">
        <f t="shared" si="10"/>
        <v>#DIV/0!</v>
      </c>
      <c r="L44" s="57" t="e">
        <f t="shared" si="11"/>
        <v>#DIV/0!</v>
      </c>
      <c r="M44" s="59" t="e">
        <f t="shared" si="5"/>
        <v>#DIV/0!</v>
      </c>
      <c r="N44"/>
      <c r="O44"/>
      <c r="P44"/>
      <c r="Q44"/>
    </row>
    <row r="45" spans="1:17" s="1" customFormat="1" ht="15">
      <c r="A45" s="1" t="s">
        <v>48</v>
      </c>
      <c r="B45" s="88">
        <v>4</v>
      </c>
      <c r="C45" s="71">
        <v>5</v>
      </c>
      <c r="D45" s="71">
        <v>180</v>
      </c>
      <c r="E45" s="91">
        <v>26</v>
      </c>
      <c r="F45" s="57">
        <v>0.47499999999999998</v>
      </c>
      <c r="G45" s="57">
        <v>0.01</v>
      </c>
      <c r="H45" s="56">
        <v>1</v>
      </c>
      <c r="I45" s="58"/>
      <c r="J45" s="58"/>
      <c r="K45" s="57" t="e">
        <f t="shared" si="10"/>
        <v>#DIV/0!</v>
      </c>
      <c r="L45" s="57" t="e">
        <f t="shared" si="11"/>
        <v>#DIV/0!</v>
      </c>
      <c r="M45" s="59" t="e">
        <f t="shared" si="5"/>
        <v>#DIV/0!</v>
      </c>
      <c r="N45"/>
      <c r="O45"/>
      <c r="P45"/>
      <c r="Q45"/>
    </row>
    <row r="46" spans="1:17" s="1" customFormat="1" ht="15">
      <c r="A46" s="1" t="s">
        <v>48</v>
      </c>
      <c r="B46" s="88">
        <v>4</v>
      </c>
      <c r="C46" s="71">
        <v>7</v>
      </c>
      <c r="D46" s="71">
        <v>160</v>
      </c>
      <c r="E46" s="91">
        <v>13</v>
      </c>
      <c r="F46" s="57">
        <v>0.5</v>
      </c>
      <c r="G46" s="57">
        <v>0.01</v>
      </c>
      <c r="H46" s="56">
        <v>1</v>
      </c>
      <c r="I46" s="58"/>
      <c r="J46" s="58"/>
      <c r="K46" s="57" t="e">
        <f t="shared" si="10"/>
        <v>#DIV/0!</v>
      </c>
      <c r="L46" s="57" t="e">
        <f t="shared" si="11"/>
        <v>#DIV/0!</v>
      </c>
      <c r="M46" s="59" t="e">
        <f t="shared" si="5"/>
        <v>#DIV/0!</v>
      </c>
      <c r="N46"/>
      <c r="O46"/>
      <c r="P46"/>
      <c r="Q46"/>
    </row>
    <row r="47" spans="1:17" ht="15">
      <c r="A47" s="1" t="s">
        <v>48</v>
      </c>
      <c r="B47" s="88">
        <v>4</v>
      </c>
      <c r="C47" s="71">
        <v>9</v>
      </c>
      <c r="D47" s="71">
        <v>140</v>
      </c>
      <c r="E47" s="91">
        <v>10</v>
      </c>
      <c r="F47" s="57">
        <v>0.5</v>
      </c>
      <c r="G47" s="57">
        <v>0.01</v>
      </c>
      <c r="H47" s="56">
        <v>1</v>
      </c>
      <c r="I47" s="58"/>
      <c r="J47" s="58"/>
      <c r="K47" s="57" t="e">
        <f t="shared" si="10"/>
        <v>#DIV/0!</v>
      </c>
      <c r="L47" s="57" t="e">
        <f t="shared" si="11"/>
        <v>#DIV/0!</v>
      </c>
      <c r="M47" s="59" t="e">
        <f t="shared" si="5"/>
        <v>#DIV/0!</v>
      </c>
    </row>
    <row r="48" spans="1:17" ht="15">
      <c r="A48" s="1" t="s">
        <v>48</v>
      </c>
      <c r="B48" s="88">
        <v>4</v>
      </c>
      <c r="C48" s="71">
        <v>11</v>
      </c>
      <c r="D48" s="71">
        <v>120</v>
      </c>
      <c r="E48" s="91">
        <v>27</v>
      </c>
      <c r="F48" s="57">
        <v>0.5</v>
      </c>
      <c r="G48" s="57">
        <v>0.01</v>
      </c>
      <c r="H48" s="56">
        <v>1</v>
      </c>
      <c r="I48" s="58"/>
      <c r="J48" s="58"/>
      <c r="K48" s="57" t="e">
        <f t="shared" si="10"/>
        <v>#DIV/0!</v>
      </c>
      <c r="L48" s="57" t="e">
        <f t="shared" si="11"/>
        <v>#DIV/0!</v>
      </c>
      <c r="M48" s="59" t="e">
        <f t="shared" si="5"/>
        <v>#DIV/0!</v>
      </c>
    </row>
    <row r="49" spans="1:13" ht="15">
      <c r="A49" s="1" t="s">
        <v>48</v>
      </c>
      <c r="B49" s="88">
        <v>4</v>
      </c>
      <c r="C49" s="71">
        <v>13</v>
      </c>
      <c r="D49" s="71">
        <v>100</v>
      </c>
      <c r="E49" s="91">
        <v>14</v>
      </c>
      <c r="F49" s="57">
        <v>0.48499999999999999</v>
      </c>
      <c r="G49" s="57">
        <v>0.01</v>
      </c>
      <c r="H49" s="56">
        <v>1</v>
      </c>
      <c r="I49" s="58"/>
      <c r="J49" s="58"/>
      <c r="K49" s="57" t="e">
        <f t="shared" si="10"/>
        <v>#DIV/0!</v>
      </c>
      <c r="L49" s="57" t="e">
        <f t="shared" si="11"/>
        <v>#DIV/0!</v>
      </c>
      <c r="M49" s="59" t="e">
        <f t="shared" si="5"/>
        <v>#DIV/0!</v>
      </c>
    </row>
    <row r="50" spans="1:13" ht="15">
      <c r="A50" s="1" t="s">
        <v>48</v>
      </c>
      <c r="B50" s="88">
        <v>4</v>
      </c>
      <c r="C50" s="71">
        <v>15</v>
      </c>
      <c r="D50" s="71">
        <v>80</v>
      </c>
      <c r="E50" s="91">
        <v>17</v>
      </c>
      <c r="F50" s="57">
        <v>0.5</v>
      </c>
      <c r="G50" s="57">
        <v>0.01</v>
      </c>
      <c r="H50" s="56">
        <v>1</v>
      </c>
      <c r="I50" s="58"/>
      <c r="J50" s="58"/>
      <c r="K50" s="57" t="e">
        <f t="shared" si="10"/>
        <v>#DIV/0!</v>
      </c>
      <c r="L50" s="57" t="e">
        <f t="shared" si="11"/>
        <v>#DIV/0!</v>
      </c>
      <c r="M50" s="59" t="e">
        <f t="shared" si="5"/>
        <v>#DIV/0!</v>
      </c>
    </row>
    <row r="51" spans="1:13" ht="15">
      <c r="A51" s="1" t="s">
        <v>48</v>
      </c>
      <c r="B51" s="88">
        <v>4</v>
      </c>
      <c r="C51" s="71">
        <v>17</v>
      </c>
      <c r="D51" s="71">
        <v>60</v>
      </c>
      <c r="E51" s="91">
        <v>18</v>
      </c>
      <c r="F51" s="57">
        <v>0.5</v>
      </c>
      <c r="G51" s="57">
        <v>0.01</v>
      </c>
      <c r="H51" s="56">
        <v>1</v>
      </c>
      <c r="I51" s="58"/>
      <c r="J51" s="58"/>
      <c r="K51" s="57" t="e">
        <f t="shared" si="10"/>
        <v>#DIV/0!</v>
      </c>
      <c r="L51" s="57" t="e">
        <f t="shared" si="11"/>
        <v>#DIV/0!</v>
      </c>
      <c r="M51" s="59" t="e">
        <f t="shared" si="5"/>
        <v>#DIV/0!</v>
      </c>
    </row>
    <row r="52" spans="1:13" ht="15">
      <c r="A52" s="1" t="s">
        <v>48</v>
      </c>
      <c r="B52" s="88">
        <v>4</v>
      </c>
      <c r="C52" s="71">
        <v>19</v>
      </c>
      <c r="D52" s="71">
        <v>40</v>
      </c>
      <c r="E52" s="91">
        <v>11</v>
      </c>
      <c r="F52" s="57">
        <v>0.5</v>
      </c>
      <c r="G52" s="57">
        <v>0.01</v>
      </c>
      <c r="H52" s="56">
        <v>1</v>
      </c>
      <c r="I52" s="58"/>
      <c r="J52" s="58"/>
      <c r="K52" s="57" t="e">
        <f t="shared" si="10"/>
        <v>#DIV/0!</v>
      </c>
      <c r="L52" s="57" t="e">
        <f t="shared" si="11"/>
        <v>#DIV/0!</v>
      </c>
      <c r="M52" s="59" t="e">
        <f t="shared" si="5"/>
        <v>#DIV/0!</v>
      </c>
    </row>
    <row r="53" spans="1:13" ht="15">
      <c r="A53" s="1" t="s">
        <v>48</v>
      </c>
      <c r="B53" s="88">
        <v>4</v>
      </c>
      <c r="C53" s="71">
        <v>21</v>
      </c>
      <c r="D53" s="71">
        <v>20</v>
      </c>
      <c r="E53" s="91">
        <v>9</v>
      </c>
      <c r="F53" s="57">
        <v>0.40500000000000003</v>
      </c>
      <c r="G53" s="57">
        <v>0.01</v>
      </c>
      <c r="H53" s="56">
        <v>1</v>
      </c>
      <c r="I53" s="58"/>
      <c r="J53" s="58"/>
      <c r="K53" s="57" t="e">
        <f t="shared" si="10"/>
        <v>#DIV/0!</v>
      </c>
      <c r="L53" s="57" t="e">
        <f t="shared" si="11"/>
        <v>#DIV/0!</v>
      </c>
      <c r="M53" s="59" t="e">
        <f t="shared" si="5"/>
        <v>#DIV/0!</v>
      </c>
    </row>
    <row r="54" spans="1:13" ht="15">
      <c r="A54" s="1" t="s">
        <v>48</v>
      </c>
      <c r="B54" s="88">
        <v>4</v>
      </c>
      <c r="C54" s="71">
        <v>23</v>
      </c>
      <c r="D54" s="71">
        <v>10</v>
      </c>
      <c r="E54" s="91">
        <v>15</v>
      </c>
      <c r="F54" s="57">
        <v>0.5</v>
      </c>
      <c r="G54" s="57">
        <v>0.01</v>
      </c>
      <c r="H54" s="56">
        <v>1</v>
      </c>
      <c r="I54" s="58"/>
      <c r="J54" s="58"/>
      <c r="K54" s="57" t="e">
        <f t="shared" si="10"/>
        <v>#DIV/0!</v>
      </c>
      <c r="L54" s="57" t="e">
        <f t="shared" si="11"/>
        <v>#DIV/0!</v>
      </c>
      <c r="M54" s="59" t="e">
        <f t="shared" si="5"/>
        <v>#DIV/0!</v>
      </c>
    </row>
    <row r="55" spans="1:13" ht="15">
      <c r="B55" s="86"/>
      <c r="D55" s="72"/>
      <c r="E55" s="91"/>
      <c r="F55" s="57"/>
      <c r="G55" s="57"/>
      <c r="H55" s="56"/>
      <c r="I55" s="58"/>
      <c r="J55" s="58"/>
      <c r="K55" s="57"/>
      <c r="L55" s="57"/>
      <c r="M55" s="59"/>
    </row>
    <row r="56" spans="1:13" ht="15">
      <c r="A56" s="1" t="s">
        <v>48</v>
      </c>
      <c r="B56" s="88">
        <v>10</v>
      </c>
      <c r="C56" s="71">
        <v>1</v>
      </c>
      <c r="D56" s="71">
        <v>220</v>
      </c>
      <c r="E56" s="91">
        <v>20</v>
      </c>
      <c r="F56" s="57">
        <v>0.5</v>
      </c>
      <c r="G56" s="57">
        <v>0.01</v>
      </c>
      <c r="H56" s="56">
        <v>1</v>
      </c>
      <c r="I56" s="58"/>
      <c r="J56" s="58"/>
      <c r="K56" s="57" t="e">
        <f t="shared" si="10"/>
        <v>#DIV/0!</v>
      </c>
      <c r="L56" s="57" t="e">
        <f t="shared" si="11"/>
        <v>#DIV/0!</v>
      </c>
      <c r="M56" s="59" t="e">
        <f t="shared" si="5"/>
        <v>#DIV/0!</v>
      </c>
    </row>
    <row r="57" spans="1:13" ht="15">
      <c r="A57" s="1" t="s">
        <v>48</v>
      </c>
      <c r="B57" s="88">
        <v>10</v>
      </c>
      <c r="C57" s="71">
        <v>3</v>
      </c>
      <c r="D57" s="71">
        <v>200</v>
      </c>
      <c r="E57" s="91">
        <v>18</v>
      </c>
      <c r="F57" s="57">
        <v>0.5</v>
      </c>
      <c r="G57" s="57">
        <v>0.01</v>
      </c>
      <c r="H57" s="56">
        <v>1</v>
      </c>
      <c r="I57" s="58"/>
      <c r="J57" s="58"/>
      <c r="K57" s="57" t="e">
        <f t="shared" si="10"/>
        <v>#DIV/0!</v>
      </c>
      <c r="L57" s="57" t="e">
        <f t="shared" si="11"/>
        <v>#DIV/0!</v>
      </c>
      <c r="M57" s="59" t="e">
        <f t="shared" si="5"/>
        <v>#DIV/0!</v>
      </c>
    </row>
    <row r="58" spans="1:13" ht="15">
      <c r="A58" s="1" t="s">
        <v>48</v>
      </c>
      <c r="B58" s="88">
        <v>10</v>
      </c>
      <c r="C58" s="71">
        <v>5</v>
      </c>
      <c r="D58" s="71">
        <v>180</v>
      </c>
      <c r="E58" s="91">
        <v>26</v>
      </c>
      <c r="F58" s="57">
        <v>0.5</v>
      </c>
      <c r="G58" s="57">
        <v>0.01</v>
      </c>
      <c r="H58" s="56">
        <v>1</v>
      </c>
      <c r="I58" s="58"/>
      <c r="J58" s="58"/>
      <c r="K58" s="57" t="e">
        <f t="shared" si="10"/>
        <v>#DIV/0!</v>
      </c>
      <c r="L58" s="57" t="e">
        <f t="shared" si="11"/>
        <v>#DIV/0!</v>
      </c>
      <c r="M58" s="59" t="e">
        <f t="shared" si="5"/>
        <v>#DIV/0!</v>
      </c>
    </row>
    <row r="59" spans="1:13" ht="15">
      <c r="A59" s="1" t="s">
        <v>48</v>
      </c>
      <c r="B59" s="88">
        <v>10</v>
      </c>
      <c r="C59" s="71">
        <v>7</v>
      </c>
      <c r="D59" s="71">
        <v>160</v>
      </c>
      <c r="E59" s="91">
        <v>23</v>
      </c>
      <c r="F59" s="57">
        <v>0.5</v>
      </c>
      <c r="G59" s="57">
        <v>0.01</v>
      </c>
      <c r="H59" s="56">
        <v>1</v>
      </c>
      <c r="I59" s="58"/>
      <c r="J59" s="58"/>
      <c r="K59" s="57" t="e">
        <f t="shared" si="10"/>
        <v>#DIV/0!</v>
      </c>
      <c r="L59" s="57" t="e">
        <f t="shared" si="11"/>
        <v>#DIV/0!</v>
      </c>
      <c r="M59" s="59" t="e">
        <f t="shared" si="5"/>
        <v>#DIV/0!</v>
      </c>
    </row>
    <row r="60" spans="1:13" ht="15">
      <c r="A60" s="1" t="s">
        <v>48</v>
      </c>
      <c r="B60" s="88">
        <v>10</v>
      </c>
      <c r="C60" s="71">
        <v>9</v>
      </c>
      <c r="D60" s="71">
        <v>140</v>
      </c>
      <c r="E60" s="91">
        <v>10</v>
      </c>
      <c r="F60" s="57">
        <v>0.5</v>
      </c>
      <c r="G60" s="57">
        <v>0.01</v>
      </c>
      <c r="H60" s="56">
        <v>1</v>
      </c>
      <c r="I60" s="58"/>
      <c r="J60" s="58"/>
      <c r="K60" s="57" t="e">
        <f t="shared" si="10"/>
        <v>#DIV/0!</v>
      </c>
      <c r="L60" s="57" t="e">
        <f t="shared" si="11"/>
        <v>#DIV/0!</v>
      </c>
      <c r="M60" s="59" t="e">
        <f t="shared" si="5"/>
        <v>#DIV/0!</v>
      </c>
    </row>
    <row r="61" spans="1:13" ht="15">
      <c r="A61" s="1" t="s">
        <v>48</v>
      </c>
      <c r="B61" s="88">
        <v>10</v>
      </c>
      <c r="C61" s="71">
        <v>11</v>
      </c>
      <c r="D61" s="71">
        <v>120</v>
      </c>
      <c r="E61" s="91">
        <v>36</v>
      </c>
      <c r="F61" s="57">
        <v>0.5</v>
      </c>
      <c r="G61" s="57">
        <v>0.01</v>
      </c>
      <c r="H61" s="56">
        <v>1</v>
      </c>
      <c r="I61" s="58"/>
      <c r="J61" s="58"/>
      <c r="K61" s="57" t="e">
        <f t="shared" si="10"/>
        <v>#DIV/0!</v>
      </c>
      <c r="L61" s="57" t="e">
        <f t="shared" si="11"/>
        <v>#DIV/0!</v>
      </c>
      <c r="M61" s="59" t="e">
        <f t="shared" si="5"/>
        <v>#DIV/0!</v>
      </c>
    </row>
    <row r="62" spans="1:13" ht="15">
      <c r="A62" s="1" t="s">
        <v>48</v>
      </c>
      <c r="B62" s="88">
        <v>10</v>
      </c>
      <c r="C62" s="71">
        <v>13</v>
      </c>
      <c r="D62" s="71">
        <v>100</v>
      </c>
      <c r="E62" s="91">
        <v>15</v>
      </c>
      <c r="F62" s="57">
        <v>0.5</v>
      </c>
      <c r="G62" s="57">
        <v>0.01</v>
      </c>
      <c r="H62" s="56">
        <v>1</v>
      </c>
      <c r="I62" s="58"/>
      <c r="J62" s="58"/>
      <c r="K62" s="57" t="e">
        <f t="shared" si="10"/>
        <v>#DIV/0!</v>
      </c>
      <c r="L62" s="57" t="e">
        <f t="shared" si="11"/>
        <v>#DIV/0!</v>
      </c>
      <c r="M62" s="59" t="e">
        <f t="shared" si="5"/>
        <v>#DIV/0!</v>
      </c>
    </row>
    <row r="63" spans="1:13" ht="15">
      <c r="A63" s="1" t="s">
        <v>48</v>
      </c>
      <c r="B63" s="88">
        <v>10</v>
      </c>
      <c r="C63" s="71">
        <v>15</v>
      </c>
      <c r="D63" s="71">
        <v>80</v>
      </c>
      <c r="E63" s="91">
        <v>21</v>
      </c>
      <c r="F63" s="57">
        <v>0.5</v>
      </c>
      <c r="G63" s="57">
        <v>0.01</v>
      </c>
      <c r="H63" s="56">
        <v>1</v>
      </c>
      <c r="I63" s="58"/>
      <c r="J63" s="58"/>
      <c r="K63" s="57" t="e">
        <f t="shared" si="10"/>
        <v>#DIV/0!</v>
      </c>
      <c r="L63" s="57" t="e">
        <f t="shared" si="11"/>
        <v>#DIV/0!</v>
      </c>
      <c r="M63" s="59" t="e">
        <f t="shared" si="5"/>
        <v>#DIV/0!</v>
      </c>
    </row>
    <row r="64" spans="1:13" ht="15">
      <c r="A64" s="1" t="s">
        <v>48</v>
      </c>
      <c r="B64" s="88">
        <v>10</v>
      </c>
      <c r="C64" s="71">
        <v>17</v>
      </c>
      <c r="D64" s="71">
        <v>60</v>
      </c>
      <c r="E64" s="91" t="s">
        <v>52</v>
      </c>
      <c r="F64" s="57">
        <v>0.5</v>
      </c>
      <c r="G64" s="57">
        <v>0.01</v>
      </c>
      <c r="H64" s="56">
        <v>1</v>
      </c>
      <c r="I64" s="58"/>
      <c r="J64" s="58"/>
      <c r="K64" s="57" t="e">
        <f t="shared" si="10"/>
        <v>#DIV/0!</v>
      </c>
      <c r="L64" s="57" t="e">
        <f t="shared" si="11"/>
        <v>#DIV/0!</v>
      </c>
      <c r="M64" s="59" t="e">
        <f t="shared" si="5"/>
        <v>#DIV/0!</v>
      </c>
    </row>
    <row r="65" spans="1:13" ht="15">
      <c r="A65" s="1" t="s">
        <v>48</v>
      </c>
      <c r="B65" s="88">
        <v>10</v>
      </c>
      <c r="C65" s="71">
        <v>19</v>
      </c>
      <c r="D65" s="71">
        <v>40</v>
      </c>
      <c r="E65" s="91">
        <v>11</v>
      </c>
      <c r="F65" s="57">
        <v>0.5</v>
      </c>
      <c r="G65" s="57">
        <v>0.01</v>
      </c>
      <c r="H65" s="56">
        <v>1</v>
      </c>
      <c r="I65" s="58"/>
      <c r="J65" s="58"/>
      <c r="K65" s="57" t="e">
        <f t="shared" si="10"/>
        <v>#DIV/0!</v>
      </c>
      <c r="L65" s="57" t="e">
        <f t="shared" si="11"/>
        <v>#DIV/0!</v>
      </c>
      <c r="M65" s="59" t="e">
        <f t="shared" si="5"/>
        <v>#DIV/0!</v>
      </c>
    </row>
    <row r="66" spans="1:13" ht="15">
      <c r="A66" s="1" t="s">
        <v>48</v>
      </c>
      <c r="B66" s="88">
        <v>10</v>
      </c>
      <c r="C66" s="71">
        <v>21</v>
      </c>
      <c r="D66" s="71">
        <v>20</v>
      </c>
      <c r="E66" s="91" t="s">
        <v>49</v>
      </c>
      <c r="F66" s="57">
        <v>0.5</v>
      </c>
      <c r="G66" s="57">
        <v>0.01</v>
      </c>
      <c r="H66" s="56">
        <v>1</v>
      </c>
      <c r="I66" s="58"/>
      <c r="J66" s="58"/>
      <c r="K66" s="57" t="e">
        <f t="shared" si="10"/>
        <v>#DIV/0!</v>
      </c>
      <c r="L66" s="57" t="e">
        <f t="shared" si="11"/>
        <v>#DIV/0!</v>
      </c>
      <c r="M66" s="59" t="e">
        <f t="shared" si="5"/>
        <v>#DIV/0!</v>
      </c>
    </row>
    <row r="67" spans="1:13" ht="15">
      <c r="A67" s="1" t="s">
        <v>48</v>
      </c>
      <c r="B67" s="88">
        <v>10</v>
      </c>
      <c r="C67" s="71">
        <v>23</v>
      </c>
      <c r="D67" s="71">
        <v>10</v>
      </c>
      <c r="E67" s="91">
        <v>17</v>
      </c>
      <c r="F67" s="57">
        <v>0.5</v>
      </c>
      <c r="G67" s="57">
        <v>0.01</v>
      </c>
      <c r="H67" s="56">
        <v>1</v>
      </c>
      <c r="I67" s="58"/>
      <c r="J67" s="58"/>
      <c r="K67" s="57" t="e">
        <f t="shared" si="10"/>
        <v>#DIV/0!</v>
      </c>
      <c r="L67" s="57" t="e">
        <f t="shared" si="11"/>
        <v>#DIV/0!</v>
      </c>
      <c r="M67" s="59" t="e">
        <f t="shared" si="5"/>
        <v>#DIV/0!</v>
      </c>
    </row>
    <row r="68" spans="1:13" ht="15">
      <c r="B68" s="86"/>
      <c r="D68" s="72"/>
      <c r="E68" s="91"/>
      <c r="F68" s="57"/>
      <c r="G68" s="57"/>
      <c r="H68" s="56"/>
      <c r="I68" s="58"/>
      <c r="J68" s="58"/>
      <c r="K68" s="57"/>
      <c r="L68" s="57"/>
      <c r="M68" s="59"/>
    </row>
    <row r="69" spans="1:13" ht="15">
      <c r="A69" s="1" t="s">
        <v>48</v>
      </c>
      <c r="B69" s="88">
        <v>11</v>
      </c>
      <c r="C69" s="71">
        <v>2</v>
      </c>
      <c r="D69" s="71">
        <v>220</v>
      </c>
      <c r="E69" s="91">
        <v>13</v>
      </c>
      <c r="F69" s="57">
        <v>0.5</v>
      </c>
      <c r="G69" s="57">
        <v>0.01</v>
      </c>
      <c r="H69" s="56">
        <v>1</v>
      </c>
      <c r="I69" s="58"/>
      <c r="J69" s="58"/>
      <c r="K69" s="57" t="e">
        <f t="shared" si="10"/>
        <v>#DIV/0!</v>
      </c>
      <c r="L69" s="57" t="e">
        <f t="shared" si="11"/>
        <v>#DIV/0!</v>
      </c>
      <c r="M69" s="59" t="e">
        <f t="shared" si="5"/>
        <v>#DIV/0!</v>
      </c>
    </row>
    <row r="70" spans="1:13" ht="15">
      <c r="A70" s="1" t="s">
        <v>48</v>
      </c>
      <c r="B70" s="88">
        <v>11</v>
      </c>
      <c r="C70" s="71">
        <v>4</v>
      </c>
      <c r="D70" s="71">
        <v>200</v>
      </c>
      <c r="E70" s="91">
        <v>25</v>
      </c>
      <c r="F70" s="57">
        <v>0.5</v>
      </c>
      <c r="G70" s="57">
        <v>0.01</v>
      </c>
      <c r="H70" s="56">
        <v>1</v>
      </c>
      <c r="I70" s="58"/>
      <c r="J70" s="58"/>
      <c r="K70" s="57" t="e">
        <f t="shared" si="10"/>
        <v>#DIV/0!</v>
      </c>
      <c r="L70" s="57" t="e">
        <f t="shared" si="11"/>
        <v>#DIV/0!</v>
      </c>
      <c r="M70" s="59" t="e">
        <f t="shared" si="5"/>
        <v>#DIV/0!</v>
      </c>
    </row>
    <row r="71" spans="1:13" ht="15">
      <c r="A71" s="1" t="s">
        <v>48</v>
      </c>
      <c r="B71" s="88">
        <v>11</v>
      </c>
      <c r="C71" s="71">
        <v>6</v>
      </c>
      <c r="D71" s="71">
        <v>180</v>
      </c>
      <c r="E71" s="91">
        <v>9</v>
      </c>
      <c r="F71" s="57">
        <v>0.5</v>
      </c>
      <c r="G71" s="57">
        <v>0.01</v>
      </c>
      <c r="H71" s="56">
        <v>1</v>
      </c>
      <c r="I71" s="58"/>
      <c r="J71" s="58"/>
      <c r="K71" s="57" t="e">
        <f t="shared" si="10"/>
        <v>#DIV/0!</v>
      </c>
      <c r="L71" s="57" t="e">
        <f t="shared" si="11"/>
        <v>#DIV/0!</v>
      </c>
      <c r="M71" s="59" t="e">
        <f t="shared" si="5"/>
        <v>#DIV/0!</v>
      </c>
    </row>
    <row r="72" spans="1:13" ht="15">
      <c r="A72" s="1" t="s">
        <v>48</v>
      </c>
      <c r="B72" s="88">
        <v>11</v>
      </c>
      <c r="C72" s="71">
        <v>8</v>
      </c>
      <c r="D72" s="71">
        <v>160</v>
      </c>
      <c r="E72" s="91" t="s">
        <v>53</v>
      </c>
      <c r="F72" s="57">
        <v>0.5</v>
      </c>
      <c r="G72" s="57">
        <v>0.01</v>
      </c>
      <c r="H72" s="56">
        <v>1</v>
      </c>
      <c r="I72" s="58"/>
      <c r="J72" s="58"/>
      <c r="K72" s="57" t="e">
        <f t="shared" si="10"/>
        <v>#DIV/0!</v>
      </c>
      <c r="L72" s="57" t="e">
        <f t="shared" si="11"/>
        <v>#DIV/0!</v>
      </c>
      <c r="M72" s="59" t="e">
        <f t="shared" si="5"/>
        <v>#DIV/0!</v>
      </c>
    </row>
    <row r="73" spans="1:13" ht="15">
      <c r="A73" s="1" t="s">
        <v>48</v>
      </c>
      <c r="B73" s="88">
        <v>11</v>
      </c>
      <c r="C73" s="71">
        <v>10</v>
      </c>
      <c r="D73" s="71">
        <v>140</v>
      </c>
      <c r="E73" s="91">
        <v>14</v>
      </c>
      <c r="F73" s="57">
        <v>0.5</v>
      </c>
      <c r="G73" s="57">
        <v>0.01</v>
      </c>
      <c r="H73" s="56">
        <v>1</v>
      </c>
      <c r="I73" s="58"/>
      <c r="J73" s="58"/>
      <c r="K73" s="57" t="e">
        <f t="shared" si="10"/>
        <v>#DIV/0!</v>
      </c>
      <c r="L73" s="57" t="e">
        <f t="shared" si="11"/>
        <v>#DIV/0!</v>
      </c>
      <c r="M73" s="59" t="e">
        <f t="shared" si="5"/>
        <v>#DIV/0!</v>
      </c>
    </row>
    <row r="74" spans="1:13" ht="15">
      <c r="A74" s="1" t="s">
        <v>48</v>
      </c>
      <c r="B74" s="88">
        <v>11</v>
      </c>
      <c r="C74" s="71">
        <v>12</v>
      </c>
      <c r="D74" s="71">
        <v>120</v>
      </c>
      <c r="E74" s="91" t="s">
        <v>51</v>
      </c>
      <c r="F74" s="57">
        <v>0.47499999999999998</v>
      </c>
      <c r="G74" s="57">
        <v>0.01</v>
      </c>
      <c r="H74" s="56">
        <v>1</v>
      </c>
      <c r="I74" s="58"/>
      <c r="J74" s="58"/>
      <c r="K74" s="57" t="e">
        <f t="shared" si="10"/>
        <v>#DIV/0!</v>
      </c>
      <c r="L74" s="57" t="e">
        <f t="shared" si="11"/>
        <v>#DIV/0!</v>
      </c>
      <c r="M74" s="59" t="e">
        <f t="shared" si="5"/>
        <v>#DIV/0!</v>
      </c>
    </row>
    <row r="75" spans="1:13" ht="15">
      <c r="A75" s="1" t="s">
        <v>48</v>
      </c>
      <c r="B75" s="88">
        <v>11</v>
      </c>
      <c r="C75" s="71">
        <v>14</v>
      </c>
      <c r="D75" s="71">
        <v>100</v>
      </c>
      <c r="E75" s="91">
        <v>27</v>
      </c>
      <c r="F75" s="57">
        <v>0.5</v>
      </c>
      <c r="G75" s="57">
        <v>0.01</v>
      </c>
      <c r="H75" s="56">
        <v>1</v>
      </c>
      <c r="I75" s="58"/>
      <c r="J75" s="58"/>
      <c r="K75" s="57" t="e">
        <f t="shared" si="10"/>
        <v>#DIV/0!</v>
      </c>
      <c r="L75" s="57" t="e">
        <f t="shared" si="11"/>
        <v>#DIV/0!</v>
      </c>
      <c r="M75" s="59" t="e">
        <f t="shared" si="5"/>
        <v>#DIV/0!</v>
      </c>
    </row>
    <row r="76" spans="1:13" ht="15">
      <c r="A76" s="1" t="s">
        <v>48</v>
      </c>
      <c r="B76" s="88">
        <v>11</v>
      </c>
      <c r="C76" s="71">
        <v>16</v>
      </c>
      <c r="D76" s="71">
        <v>80</v>
      </c>
      <c r="E76" s="91">
        <v>12</v>
      </c>
      <c r="F76" s="57">
        <v>0.5</v>
      </c>
      <c r="G76" s="57">
        <v>0.01</v>
      </c>
      <c r="H76" s="56">
        <v>1</v>
      </c>
      <c r="I76" s="58"/>
      <c r="J76" s="58"/>
      <c r="K76" s="57" t="e">
        <f t="shared" si="10"/>
        <v>#DIV/0!</v>
      </c>
      <c r="L76" s="57" t="e">
        <f t="shared" si="11"/>
        <v>#DIV/0!</v>
      </c>
      <c r="M76" s="59" t="e">
        <f t="shared" si="5"/>
        <v>#DIV/0!</v>
      </c>
    </row>
    <row r="77" spans="1:13" ht="15">
      <c r="A77" s="1" t="s">
        <v>48</v>
      </c>
      <c r="B77" s="88">
        <v>11</v>
      </c>
      <c r="C77" s="71">
        <v>18</v>
      </c>
      <c r="D77" s="71">
        <v>60</v>
      </c>
      <c r="E77" s="91">
        <v>16</v>
      </c>
      <c r="F77" s="57">
        <v>0.5</v>
      </c>
      <c r="G77" s="57">
        <v>0.01</v>
      </c>
      <c r="H77" s="56">
        <v>1</v>
      </c>
      <c r="I77" s="58"/>
      <c r="J77" s="58"/>
      <c r="K77" s="57" t="e">
        <f t="shared" si="10"/>
        <v>#DIV/0!</v>
      </c>
      <c r="L77" s="57" t="e">
        <f t="shared" si="11"/>
        <v>#DIV/0!</v>
      </c>
      <c r="M77" s="59" t="e">
        <f t="shared" si="5"/>
        <v>#DIV/0!</v>
      </c>
    </row>
    <row r="78" spans="1:13" ht="15">
      <c r="A78" s="1" t="s">
        <v>48</v>
      </c>
      <c r="B78" s="88">
        <v>11</v>
      </c>
      <c r="C78" s="71">
        <v>20</v>
      </c>
      <c r="D78" s="71">
        <v>40</v>
      </c>
      <c r="E78" s="91">
        <v>24</v>
      </c>
      <c r="F78" s="57">
        <v>0.5</v>
      </c>
      <c r="G78" s="57">
        <v>0.01</v>
      </c>
      <c r="H78" s="56">
        <v>1</v>
      </c>
      <c r="I78" s="58"/>
      <c r="J78" s="58"/>
      <c r="K78" s="57" t="e">
        <f t="shared" si="10"/>
        <v>#DIV/0!</v>
      </c>
      <c r="L78" s="57" t="e">
        <f t="shared" si="11"/>
        <v>#DIV/0!</v>
      </c>
      <c r="M78" s="59" t="e">
        <f t="shared" si="5"/>
        <v>#DIV/0!</v>
      </c>
    </row>
    <row r="79" spans="1:13" ht="15">
      <c r="A79" s="1" t="s">
        <v>48</v>
      </c>
      <c r="B79" s="88">
        <v>11</v>
      </c>
      <c r="C79" s="71">
        <v>22</v>
      </c>
      <c r="D79" s="71">
        <v>20</v>
      </c>
      <c r="E79" s="91">
        <v>19</v>
      </c>
      <c r="F79" s="57">
        <v>0.47499999999999998</v>
      </c>
      <c r="G79" s="57">
        <v>0.01</v>
      </c>
      <c r="H79" s="56">
        <v>1</v>
      </c>
      <c r="I79" s="58"/>
      <c r="J79" s="58"/>
      <c r="K79" s="57" t="e">
        <f t="shared" si="10"/>
        <v>#DIV/0!</v>
      </c>
      <c r="L79" s="57" t="e">
        <f t="shared" si="11"/>
        <v>#DIV/0!</v>
      </c>
      <c r="M79" s="59" t="e">
        <f t="shared" si="5"/>
        <v>#DIV/0!</v>
      </c>
    </row>
    <row r="80" spans="1:13" ht="15">
      <c r="A80" s="1" t="s">
        <v>48</v>
      </c>
      <c r="B80" s="88">
        <v>11</v>
      </c>
      <c r="C80" s="71">
        <v>24</v>
      </c>
      <c r="D80" s="71">
        <v>10</v>
      </c>
      <c r="E80" s="91" t="s">
        <v>50</v>
      </c>
      <c r="F80" s="57">
        <v>0.49</v>
      </c>
      <c r="G80" s="57">
        <v>0.01</v>
      </c>
      <c r="H80" s="56">
        <v>1</v>
      </c>
      <c r="I80" s="58"/>
      <c r="J80" s="58"/>
      <c r="K80" s="57" t="e">
        <f t="shared" si="10"/>
        <v>#DIV/0!</v>
      </c>
      <c r="L80" s="57" t="e">
        <f t="shared" si="11"/>
        <v>#DIV/0!</v>
      </c>
      <c r="M80" s="59" t="e">
        <f t="shared" si="5"/>
        <v>#DIV/0!</v>
      </c>
    </row>
    <row r="81" spans="1:13" ht="15">
      <c r="B81" s="86"/>
      <c r="D81" s="72"/>
      <c r="E81" s="91"/>
      <c r="F81" s="57"/>
      <c r="G81" s="57"/>
      <c r="H81" s="56"/>
      <c r="I81" s="58"/>
      <c r="J81" s="58"/>
      <c r="K81" s="57"/>
      <c r="L81" s="57"/>
      <c r="M81" s="59"/>
    </row>
    <row r="82" spans="1:13" ht="15">
      <c r="A82" s="1" t="s">
        <v>48</v>
      </c>
      <c r="B82" s="88">
        <v>14</v>
      </c>
      <c r="C82" s="71">
        <v>3</v>
      </c>
      <c r="D82" s="71">
        <v>200</v>
      </c>
      <c r="E82" s="91">
        <v>24</v>
      </c>
      <c r="F82" s="57">
        <v>0.5</v>
      </c>
      <c r="G82" s="57">
        <v>0.01</v>
      </c>
      <c r="H82" s="56">
        <v>1</v>
      </c>
      <c r="I82" s="58"/>
      <c r="J82" s="58"/>
      <c r="K82" s="57" t="e">
        <f t="shared" si="10"/>
        <v>#DIV/0!</v>
      </c>
      <c r="L82" s="57" t="e">
        <f t="shared" si="11"/>
        <v>#DIV/0!</v>
      </c>
      <c r="M82" s="59" t="e">
        <f t="shared" ref="M82:M142" si="12">$I82/$J82</f>
        <v>#DIV/0!</v>
      </c>
    </row>
    <row r="83" spans="1:13" ht="15">
      <c r="A83" s="1" t="s">
        <v>48</v>
      </c>
      <c r="B83" s="88">
        <v>14</v>
      </c>
      <c r="C83" s="71">
        <v>7</v>
      </c>
      <c r="D83" s="71">
        <v>160</v>
      </c>
      <c r="E83" s="91">
        <v>27</v>
      </c>
      <c r="F83" s="57">
        <v>0.5</v>
      </c>
      <c r="G83" s="57">
        <v>0.01</v>
      </c>
      <c r="H83" s="56">
        <v>1</v>
      </c>
      <c r="I83" s="58"/>
      <c r="J83" s="58"/>
      <c r="K83" s="57" t="e">
        <f t="shared" si="10"/>
        <v>#DIV/0!</v>
      </c>
      <c r="L83" s="57" t="e">
        <f t="shared" si="11"/>
        <v>#DIV/0!</v>
      </c>
      <c r="M83" s="59" t="e">
        <f t="shared" si="12"/>
        <v>#DIV/0!</v>
      </c>
    </row>
    <row r="84" spans="1:13" ht="15">
      <c r="A84" s="1" t="s">
        <v>48</v>
      </c>
      <c r="B84" s="88">
        <v>14</v>
      </c>
      <c r="C84" s="71">
        <v>9</v>
      </c>
      <c r="D84" s="71">
        <v>140</v>
      </c>
      <c r="E84" s="91" t="s">
        <v>51</v>
      </c>
      <c r="F84" s="57">
        <v>0.45500000000000002</v>
      </c>
      <c r="G84" s="57">
        <v>0.01</v>
      </c>
      <c r="H84" s="56">
        <v>1</v>
      </c>
      <c r="I84" s="58"/>
      <c r="J84" s="58"/>
      <c r="K84" s="57" t="e">
        <f t="shared" si="10"/>
        <v>#DIV/0!</v>
      </c>
      <c r="L84" s="57" t="e">
        <f t="shared" si="11"/>
        <v>#DIV/0!</v>
      </c>
      <c r="M84" s="59" t="e">
        <f t="shared" si="12"/>
        <v>#DIV/0!</v>
      </c>
    </row>
    <row r="85" spans="1:13" ht="15">
      <c r="A85" s="1" t="s">
        <v>48</v>
      </c>
      <c r="B85" s="88">
        <v>14</v>
      </c>
      <c r="C85" s="71">
        <v>11</v>
      </c>
      <c r="D85" s="71">
        <v>120</v>
      </c>
      <c r="E85" s="91" t="s">
        <v>53</v>
      </c>
      <c r="F85" s="57">
        <v>0.5</v>
      </c>
      <c r="G85" s="57">
        <v>0.01</v>
      </c>
      <c r="H85" s="56">
        <v>1</v>
      </c>
      <c r="I85" s="58"/>
      <c r="J85" s="58"/>
      <c r="K85" s="57" t="e">
        <f t="shared" si="10"/>
        <v>#DIV/0!</v>
      </c>
      <c r="L85" s="57" t="e">
        <f t="shared" si="11"/>
        <v>#DIV/0!</v>
      </c>
      <c r="M85" s="59" t="e">
        <f t="shared" si="12"/>
        <v>#DIV/0!</v>
      </c>
    </row>
    <row r="86" spans="1:13" ht="15">
      <c r="A86" s="1" t="s">
        <v>48</v>
      </c>
      <c r="B86" s="88">
        <v>14</v>
      </c>
      <c r="C86" s="71">
        <v>13</v>
      </c>
      <c r="D86" s="71">
        <v>100</v>
      </c>
      <c r="E86" s="91">
        <v>9</v>
      </c>
      <c r="F86" s="57">
        <v>0.43</v>
      </c>
      <c r="G86" s="57">
        <v>0.01</v>
      </c>
      <c r="H86" s="56">
        <v>1</v>
      </c>
      <c r="I86" s="58"/>
      <c r="J86" s="58"/>
      <c r="K86" s="57" t="e">
        <f t="shared" si="10"/>
        <v>#DIV/0!</v>
      </c>
      <c r="L86" s="57" t="e">
        <f t="shared" si="11"/>
        <v>#DIV/0!</v>
      </c>
      <c r="M86" s="59" t="e">
        <f t="shared" si="12"/>
        <v>#DIV/0!</v>
      </c>
    </row>
    <row r="87" spans="1:13" ht="15">
      <c r="A87" s="1" t="s">
        <v>48</v>
      </c>
      <c r="B87" s="88">
        <v>14</v>
      </c>
      <c r="C87" s="71">
        <v>15</v>
      </c>
      <c r="D87" s="71">
        <v>80</v>
      </c>
      <c r="E87" s="91">
        <v>12</v>
      </c>
      <c r="F87" s="57">
        <v>0.5</v>
      </c>
      <c r="G87" s="57">
        <v>0.01</v>
      </c>
      <c r="H87" s="56">
        <v>1</v>
      </c>
      <c r="I87" s="58"/>
      <c r="J87" s="58"/>
      <c r="K87" s="57" t="e">
        <f t="shared" si="10"/>
        <v>#DIV/0!</v>
      </c>
      <c r="L87" s="57" t="e">
        <f t="shared" si="11"/>
        <v>#DIV/0!</v>
      </c>
      <c r="M87" s="59" t="e">
        <f t="shared" si="12"/>
        <v>#DIV/0!</v>
      </c>
    </row>
    <row r="88" spans="1:13" ht="15">
      <c r="A88" s="1" t="s">
        <v>48</v>
      </c>
      <c r="B88" s="88">
        <v>14</v>
      </c>
      <c r="C88" s="71">
        <v>18</v>
      </c>
      <c r="D88" s="71">
        <v>60</v>
      </c>
      <c r="E88" s="91" t="s">
        <v>54</v>
      </c>
      <c r="F88" s="57">
        <v>0.5</v>
      </c>
      <c r="G88" s="57">
        <v>0.01</v>
      </c>
      <c r="H88" s="56">
        <v>1</v>
      </c>
      <c r="I88" s="58"/>
      <c r="J88" s="58"/>
      <c r="K88" s="57" t="e">
        <f t="shared" si="10"/>
        <v>#DIV/0!</v>
      </c>
      <c r="L88" s="57" t="e">
        <f t="shared" si="11"/>
        <v>#DIV/0!</v>
      </c>
      <c r="M88" s="59" t="e">
        <f t="shared" si="12"/>
        <v>#DIV/0!</v>
      </c>
    </row>
    <row r="89" spans="1:13" ht="15">
      <c r="A89" s="1" t="s">
        <v>48</v>
      </c>
      <c r="B89" s="88">
        <v>14</v>
      </c>
      <c r="C89" s="71">
        <v>20</v>
      </c>
      <c r="D89" s="71">
        <v>40</v>
      </c>
      <c r="E89" s="91">
        <v>20</v>
      </c>
      <c r="F89" s="57">
        <v>0.5</v>
      </c>
      <c r="G89" s="57">
        <v>0.01</v>
      </c>
      <c r="H89" s="56">
        <v>1</v>
      </c>
      <c r="I89" s="58"/>
      <c r="J89" s="58"/>
      <c r="K89" s="57" t="e">
        <f t="shared" si="10"/>
        <v>#DIV/0!</v>
      </c>
      <c r="L89" s="57" t="e">
        <f t="shared" si="11"/>
        <v>#DIV/0!</v>
      </c>
      <c r="M89" s="59" t="e">
        <f t="shared" si="12"/>
        <v>#DIV/0!</v>
      </c>
    </row>
    <row r="90" spans="1:13" ht="15">
      <c r="A90" s="1" t="s">
        <v>48</v>
      </c>
      <c r="B90" s="88">
        <v>14</v>
      </c>
      <c r="C90" s="71">
        <v>23</v>
      </c>
      <c r="D90" s="71">
        <v>20</v>
      </c>
      <c r="E90" s="91" t="s">
        <v>50</v>
      </c>
      <c r="F90" s="57">
        <v>0.5</v>
      </c>
      <c r="G90" s="57">
        <v>0.01</v>
      </c>
      <c r="H90" s="56">
        <v>1</v>
      </c>
      <c r="I90" s="58"/>
      <c r="J90" s="58"/>
      <c r="K90" s="57" t="e">
        <f t="shared" si="10"/>
        <v>#DIV/0!</v>
      </c>
      <c r="L90" s="57" t="e">
        <f t="shared" si="11"/>
        <v>#DIV/0!</v>
      </c>
      <c r="M90" s="59" t="e">
        <f t="shared" si="12"/>
        <v>#DIV/0!</v>
      </c>
    </row>
    <row r="91" spans="1:13" ht="15">
      <c r="A91" s="1" t="s">
        <v>48</v>
      </c>
      <c r="B91" s="88">
        <v>14</v>
      </c>
      <c r="C91" s="71">
        <v>24</v>
      </c>
      <c r="D91" s="71">
        <v>10</v>
      </c>
      <c r="E91" s="91">
        <v>14</v>
      </c>
      <c r="F91" s="57">
        <v>0.5</v>
      </c>
      <c r="G91" s="57">
        <v>0.01</v>
      </c>
      <c r="H91" s="56">
        <v>1</v>
      </c>
      <c r="I91" s="58"/>
      <c r="J91" s="58"/>
      <c r="K91" s="57" t="e">
        <f t="shared" si="10"/>
        <v>#DIV/0!</v>
      </c>
      <c r="L91" s="57" t="e">
        <f t="shared" si="11"/>
        <v>#DIV/0!</v>
      </c>
      <c r="M91" s="59" t="e">
        <f t="shared" si="12"/>
        <v>#DIV/0!</v>
      </c>
    </row>
    <row r="92" spans="1:13" ht="15">
      <c r="B92" s="86"/>
      <c r="D92" s="72"/>
      <c r="E92" s="91"/>
      <c r="F92" s="57"/>
      <c r="G92" s="57"/>
      <c r="H92" s="56"/>
      <c r="I92" s="58"/>
      <c r="J92" s="58"/>
      <c r="K92" s="57"/>
      <c r="L92" s="57"/>
      <c r="M92" s="59"/>
    </row>
    <row r="93" spans="1:13" ht="15">
      <c r="A93" s="1" t="s">
        <v>48</v>
      </c>
      <c r="B93" s="88">
        <v>15</v>
      </c>
      <c r="C93" s="71">
        <v>4</v>
      </c>
      <c r="D93" s="71">
        <v>200</v>
      </c>
      <c r="E93" s="91" t="s">
        <v>64</v>
      </c>
      <c r="F93" s="57">
        <v>0.5</v>
      </c>
      <c r="G93" s="57">
        <v>0.01</v>
      </c>
      <c r="H93" s="56">
        <v>1</v>
      </c>
      <c r="I93" s="58"/>
      <c r="J93" s="58"/>
      <c r="K93" s="57" t="e">
        <f t="shared" si="10"/>
        <v>#DIV/0!</v>
      </c>
      <c r="L93" s="57" t="e">
        <f t="shared" si="11"/>
        <v>#DIV/0!</v>
      </c>
      <c r="M93" s="59" t="e">
        <f t="shared" si="12"/>
        <v>#DIV/0!</v>
      </c>
    </row>
    <row r="94" spans="1:13" ht="15">
      <c r="A94" s="1" t="s">
        <v>48</v>
      </c>
      <c r="B94" s="88">
        <v>15</v>
      </c>
      <c r="C94" s="71">
        <v>8</v>
      </c>
      <c r="D94" s="71">
        <v>160</v>
      </c>
      <c r="E94" s="91">
        <v>17</v>
      </c>
      <c r="F94" s="57">
        <v>0.5</v>
      </c>
      <c r="G94" s="57">
        <v>0.01</v>
      </c>
      <c r="H94" s="56">
        <v>1</v>
      </c>
      <c r="I94" s="58"/>
      <c r="J94" s="58"/>
      <c r="K94" s="57" t="e">
        <f t="shared" si="10"/>
        <v>#DIV/0!</v>
      </c>
      <c r="L94" s="57" t="e">
        <f t="shared" si="11"/>
        <v>#DIV/0!</v>
      </c>
      <c r="M94" s="59" t="e">
        <f t="shared" si="12"/>
        <v>#DIV/0!</v>
      </c>
    </row>
    <row r="95" spans="1:13" ht="15">
      <c r="A95" s="1" t="s">
        <v>48</v>
      </c>
      <c r="B95" s="88">
        <v>15</v>
      </c>
      <c r="C95" s="71">
        <v>10</v>
      </c>
      <c r="D95" s="71">
        <v>140</v>
      </c>
      <c r="E95" s="91">
        <v>21</v>
      </c>
      <c r="F95" s="57">
        <v>0.5</v>
      </c>
      <c r="G95" s="57">
        <v>0.01</v>
      </c>
      <c r="H95" s="56">
        <v>1</v>
      </c>
      <c r="I95" s="58"/>
      <c r="J95" s="58"/>
      <c r="K95" s="57" t="e">
        <f t="shared" si="10"/>
        <v>#DIV/0!</v>
      </c>
      <c r="L95" s="57" t="e">
        <f t="shared" si="11"/>
        <v>#DIV/0!</v>
      </c>
      <c r="M95" s="59" t="e">
        <f t="shared" si="12"/>
        <v>#DIV/0!</v>
      </c>
    </row>
    <row r="96" spans="1:13" ht="15">
      <c r="A96" s="1" t="s">
        <v>48</v>
      </c>
      <c r="B96" s="88">
        <v>15</v>
      </c>
      <c r="C96" s="71">
        <v>12</v>
      </c>
      <c r="D96" s="71">
        <v>120</v>
      </c>
      <c r="E96" s="91">
        <v>23</v>
      </c>
      <c r="F96" s="57">
        <v>0.5</v>
      </c>
      <c r="G96" s="57">
        <v>0.01</v>
      </c>
      <c r="H96" s="56">
        <v>1</v>
      </c>
      <c r="I96" s="58"/>
      <c r="J96" s="58"/>
      <c r="K96" s="57" t="e">
        <f t="shared" si="10"/>
        <v>#DIV/0!</v>
      </c>
      <c r="L96" s="57" t="e">
        <f t="shared" si="11"/>
        <v>#DIV/0!</v>
      </c>
      <c r="M96" s="59" t="e">
        <f t="shared" si="12"/>
        <v>#DIV/0!</v>
      </c>
    </row>
    <row r="97" spans="1:13" ht="15">
      <c r="A97" s="1" t="s">
        <v>48</v>
      </c>
      <c r="B97" s="88">
        <v>15</v>
      </c>
      <c r="C97" s="71">
        <v>14</v>
      </c>
      <c r="D97" s="71">
        <v>100</v>
      </c>
      <c r="E97" s="91">
        <v>15</v>
      </c>
      <c r="F97" s="57">
        <v>0.5</v>
      </c>
      <c r="G97" s="57">
        <v>0.01</v>
      </c>
      <c r="H97" s="56">
        <v>1</v>
      </c>
      <c r="I97" s="58"/>
      <c r="J97" s="58"/>
      <c r="K97" s="57" t="e">
        <f t="shared" si="10"/>
        <v>#DIV/0!</v>
      </c>
      <c r="L97" s="57" t="e">
        <f t="shared" si="11"/>
        <v>#DIV/0!</v>
      </c>
      <c r="M97" s="59" t="e">
        <f t="shared" si="12"/>
        <v>#DIV/0!</v>
      </c>
    </row>
    <row r="98" spans="1:13" ht="15">
      <c r="A98" s="1" t="s">
        <v>48</v>
      </c>
      <c r="B98" s="88">
        <v>15</v>
      </c>
      <c r="C98" s="71">
        <v>16</v>
      </c>
      <c r="D98" s="71">
        <v>80</v>
      </c>
      <c r="E98" s="91" t="s">
        <v>49</v>
      </c>
      <c r="F98" s="57">
        <v>0.5</v>
      </c>
      <c r="G98" s="57">
        <v>0.01</v>
      </c>
      <c r="H98" s="56">
        <v>1</v>
      </c>
      <c r="I98" s="58"/>
      <c r="J98" s="58"/>
      <c r="K98" s="57" t="e">
        <f t="shared" si="10"/>
        <v>#DIV/0!</v>
      </c>
      <c r="L98" s="57" t="e">
        <f t="shared" si="11"/>
        <v>#DIV/0!</v>
      </c>
      <c r="M98" s="59" t="e">
        <f t="shared" si="12"/>
        <v>#DIV/0!</v>
      </c>
    </row>
    <row r="99" spans="1:13" ht="15">
      <c r="A99" s="1" t="s">
        <v>48</v>
      </c>
      <c r="B99" s="88">
        <v>15</v>
      </c>
      <c r="C99" s="71">
        <v>18</v>
      </c>
      <c r="D99" s="71">
        <v>60</v>
      </c>
      <c r="E99" s="91">
        <v>11</v>
      </c>
      <c r="F99" s="57">
        <v>0.5</v>
      </c>
      <c r="G99" s="57">
        <v>0.01</v>
      </c>
      <c r="H99" s="56">
        <v>1</v>
      </c>
      <c r="I99" s="58"/>
      <c r="J99" s="58"/>
      <c r="K99" s="57" t="e">
        <f t="shared" si="10"/>
        <v>#DIV/0!</v>
      </c>
      <c r="L99" s="57" t="e">
        <f t="shared" si="11"/>
        <v>#DIV/0!</v>
      </c>
      <c r="M99" s="59" t="e">
        <f t="shared" si="12"/>
        <v>#DIV/0!</v>
      </c>
    </row>
    <row r="100" spans="1:13" ht="15">
      <c r="A100" s="1" t="s">
        <v>48</v>
      </c>
      <c r="B100" s="88">
        <v>15</v>
      </c>
      <c r="C100" s="71">
        <v>20</v>
      </c>
      <c r="D100" s="71">
        <v>40</v>
      </c>
      <c r="E100" s="91">
        <v>36</v>
      </c>
      <c r="F100" s="57">
        <v>0.5</v>
      </c>
      <c r="G100" s="57">
        <v>0.01</v>
      </c>
      <c r="H100" s="56">
        <v>1</v>
      </c>
      <c r="I100" s="58"/>
      <c r="J100" s="58"/>
      <c r="K100" s="57" t="e">
        <f t="shared" si="10"/>
        <v>#DIV/0!</v>
      </c>
      <c r="L100" s="57" t="e">
        <f t="shared" si="11"/>
        <v>#DIV/0!</v>
      </c>
      <c r="M100" s="59" t="e">
        <f t="shared" si="12"/>
        <v>#DIV/0!</v>
      </c>
    </row>
    <row r="101" spans="1:13" ht="15">
      <c r="A101" s="1" t="s">
        <v>48</v>
      </c>
      <c r="B101" s="88">
        <v>15</v>
      </c>
      <c r="C101" s="71">
        <v>22</v>
      </c>
      <c r="D101" s="71">
        <v>20</v>
      </c>
      <c r="E101" s="91">
        <v>10</v>
      </c>
      <c r="F101" s="57">
        <v>0.5</v>
      </c>
      <c r="G101" s="57">
        <v>0.01</v>
      </c>
      <c r="H101" s="56">
        <v>1</v>
      </c>
      <c r="I101" s="58"/>
      <c r="J101" s="58"/>
      <c r="K101" s="57" t="e">
        <f t="shared" si="10"/>
        <v>#DIV/0!</v>
      </c>
      <c r="L101" s="57" t="e">
        <f t="shared" si="11"/>
        <v>#DIV/0!</v>
      </c>
      <c r="M101" s="59" t="e">
        <f t="shared" si="12"/>
        <v>#DIV/0!</v>
      </c>
    </row>
    <row r="102" spans="1:13" ht="15">
      <c r="A102" s="1" t="s">
        <v>48</v>
      </c>
      <c r="B102" s="88">
        <v>15</v>
      </c>
      <c r="C102" s="71">
        <v>24</v>
      </c>
      <c r="D102" s="71">
        <v>10</v>
      </c>
      <c r="E102" s="91">
        <v>26</v>
      </c>
      <c r="F102" s="57">
        <v>0.5</v>
      </c>
      <c r="G102" s="57">
        <v>0.01</v>
      </c>
      <c r="H102" s="56">
        <v>1</v>
      </c>
      <c r="I102" s="58"/>
      <c r="J102" s="58"/>
      <c r="K102" s="57" t="e">
        <f t="shared" ref="K102:K142" si="13">($B$12)*($B$11)/($B$11-1)*(I102-J102)*(G102)/(F102)*(H102)</f>
        <v>#DIV/0!</v>
      </c>
      <c r="L102" s="57" t="e">
        <f t="shared" ref="L102:L142" si="14">($B$12)*($B$11)/($B$11-1)*(($B$11*J102)-I102)*(G102)/(F102)*(H102)</f>
        <v>#DIV/0!</v>
      </c>
      <c r="M102" s="59" t="e">
        <f t="shared" si="12"/>
        <v>#DIV/0!</v>
      </c>
    </row>
    <row r="103" spans="1:13" ht="15">
      <c r="B103" s="86"/>
      <c r="D103" s="72"/>
      <c r="E103" s="91"/>
      <c r="F103" s="57"/>
      <c r="G103" s="57"/>
      <c r="H103" s="56"/>
      <c r="I103" s="58"/>
      <c r="J103" s="58"/>
      <c r="K103" s="57"/>
      <c r="L103" s="57"/>
      <c r="M103" s="59"/>
    </row>
    <row r="104" spans="1:13" ht="15">
      <c r="A104" s="1" t="s">
        <v>48</v>
      </c>
      <c r="B104" s="88">
        <v>20</v>
      </c>
      <c r="C104" s="71">
        <v>4</v>
      </c>
      <c r="D104" s="72">
        <v>2895</v>
      </c>
      <c r="E104" s="91">
        <v>11</v>
      </c>
      <c r="F104" s="57">
        <v>0.5</v>
      </c>
      <c r="G104" s="57">
        <v>0.01</v>
      </c>
      <c r="H104" s="56">
        <v>1</v>
      </c>
      <c r="I104" s="58"/>
      <c r="J104" s="58"/>
      <c r="K104" s="57" t="e">
        <f t="shared" si="13"/>
        <v>#DIV/0!</v>
      </c>
      <c r="L104" s="57" t="e">
        <f t="shared" si="14"/>
        <v>#DIV/0!</v>
      </c>
      <c r="M104" s="59" t="e">
        <f t="shared" si="12"/>
        <v>#DIV/0!</v>
      </c>
    </row>
    <row r="105" spans="1:13" ht="15">
      <c r="A105" s="1" t="s">
        <v>48</v>
      </c>
      <c r="B105" s="88">
        <v>20</v>
      </c>
      <c r="C105" s="71">
        <v>6</v>
      </c>
      <c r="D105" s="72">
        <v>2800</v>
      </c>
      <c r="E105" s="91">
        <v>15</v>
      </c>
      <c r="F105" s="57">
        <v>0.5</v>
      </c>
      <c r="G105" s="57">
        <v>0.01</v>
      </c>
      <c r="H105" s="56">
        <v>1</v>
      </c>
      <c r="I105" s="58"/>
      <c r="J105" s="58"/>
      <c r="K105" s="57" t="e">
        <f t="shared" si="13"/>
        <v>#DIV/0!</v>
      </c>
      <c r="L105" s="57" t="e">
        <f t="shared" si="14"/>
        <v>#DIV/0!</v>
      </c>
      <c r="M105" s="59" t="e">
        <f t="shared" si="12"/>
        <v>#DIV/0!</v>
      </c>
    </row>
    <row r="106" spans="1:13" ht="15">
      <c r="A106" s="1" t="s">
        <v>48</v>
      </c>
      <c r="B106" s="88">
        <v>20</v>
      </c>
      <c r="C106" s="71">
        <v>9</v>
      </c>
      <c r="D106" s="72">
        <v>2600</v>
      </c>
      <c r="E106" s="91">
        <v>19</v>
      </c>
      <c r="F106" s="57">
        <v>0.5</v>
      </c>
      <c r="G106" s="57">
        <v>0.01</v>
      </c>
      <c r="H106" s="56">
        <v>1</v>
      </c>
      <c r="I106" s="58"/>
      <c r="J106" s="58"/>
      <c r="K106" s="57" t="e">
        <f t="shared" si="13"/>
        <v>#DIV/0!</v>
      </c>
      <c r="L106" s="57" t="e">
        <f t="shared" si="14"/>
        <v>#DIV/0!</v>
      </c>
      <c r="M106" s="59" t="e">
        <f t="shared" si="12"/>
        <v>#DIV/0!</v>
      </c>
    </row>
    <row r="107" spans="1:13" ht="15">
      <c r="A107" s="1" t="s">
        <v>48</v>
      </c>
      <c r="B107" s="88">
        <v>20</v>
      </c>
      <c r="C107" s="71">
        <v>10</v>
      </c>
      <c r="D107" s="72">
        <v>2400</v>
      </c>
      <c r="E107" s="91">
        <v>21</v>
      </c>
      <c r="F107" s="57">
        <v>0.5</v>
      </c>
      <c r="G107" s="57">
        <v>0.01</v>
      </c>
      <c r="H107" s="56">
        <v>1</v>
      </c>
      <c r="I107" s="58"/>
      <c r="J107" s="58"/>
      <c r="K107" s="57" t="e">
        <f t="shared" si="13"/>
        <v>#DIV/0!</v>
      </c>
      <c r="L107" s="57" t="e">
        <f t="shared" si="14"/>
        <v>#DIV/0!</v>
      </c>
      <c r="M107" s="59" t="e">
        <f t="shared" si="12"/>
        <v>#DIV/0!</v>
      </c>
    </row>
    <row r="108" spans="1:13" ht="15">
      <c r="A108" s="1" t="s">
        <v>48</v>
      </c>
      <c r="B108" s="88">
        <v>20</v>
      </c>
      <c r="C108" s="71">
        <v>12</v>
      </c>
      <c r="D108" s="72">
        <v>40</v>
      </c>
      <c r="E108" s="91">
        <v>17</v>
      </c>
      <c r="F108" s="57">
        <v>0.5</v>
      </c>
      <c r="G108" s="57">
        <v>0.01</v>
      </c>
      <c r="H108" s="56">
        <v>1</v>
      </c>
      <c r="I108" s="58"/>
      <c r="J108" s="58"/>
      <c r="K108" s="57" t="e">
        <f t="shared" si="13"/>
        <v>#DIV/0!</v>
      </c>
      <c r="L108" s="57" t="e">
        <f t="shared" si="14"/>
        <v>#DIV/0!</v>
      </c>
      <c r="M108" s="59" t="e">
        <f t="shared" si="12"/>
        <v>#DIV/0!</v>
      </c>
    </row>
    <row r="109" spans="1:13" ht="15">
      <c r="A109" s="1" t="s">
        <v>48</v>
      </c>
      <c r="B109" s="88">
        <v>20</v>
      </c>
      <c r="C109" s="71">
        <v>13</v>
      </c>
      <c r="D109" s="72">
        <v>40</v>
      </c>
      <c r="E109" s="91">
        <v>26</v>
      </c>
      <c r="F109" s="57">
        <v>0.5</v>
      </c>
      <c r="G109" s="57">
        <v>0.01</v>
      </c>
      <c r="H109" s="56">
        <v>1</v>
      </c>
      <c r="I109" s="58"/>
      <c r="J109" s="58"/>
      <c r="K109" s="57" t="e">
        <f t="shared" si="13"/>
        <v>#DIV/0!</v>
      </c>
      <c r="L109" s="57" t="e">
        <f t="shared" si="14"/>
        <v>#DIV/0!</v>
      </c>
      <c r="M109" s="59" t="e">
        <f t="shared" si="12"/>
        <v>#DIV/0!</v>
      </c>
    </row>
    <row r="110" spans="1:13" ht="15">
      <c r="A110" s="1" t="s">
        <v>48</v>
      </c>
      <c r="B110" s="88">
        <v>20</v>
      </c>
      <c r="C110" s="71">
        <v>14</v>
      </c>
      <c r="D110" s="72">
        <v>10</v>
      </c>
      <c r="E110" s="91">
        <v>36</v>
      </c>
      <c r="F110" s="57">
        <v>0.5</v>
      </c>
      <c r="G110" s="57">
        <v>0.01</v>
      </c>
      <c r="H110" s="56">
        <v>1</v>
      </c>
      <c r="I110" s="58"/>
      <c r="J110" s="58"/>
      <c r="K110" s="57" t="e">
        <f t="shared" si="13"/>
        <v>#DIV/0!</v>
      </c>
      <c r="L110" s="57" t="e">
        <f t="shared" si="14"/>
        <v>#DIV/0!</v>
      </c>
      <c r="M110" s="59" t="e">
        <f t="shared" si="12"/>
        <v>#DIV/0!</v>
      </c>
    </row>
    <row r="111" spans="1:13" ht="15">
      <c r="B111" s="86"/>
      <c r="D111" s="72"/>
      <c r="E111" s="91"/>
      <c r="F111" s="57"/>
      <c r="G111" s="57"/>
      <c r="H111" s="56"/>
      <c r="I111" s="58"/>
      <c r="J111" s="58"/>
      <c r="K111" s="57"/>
      <c r="L111" s="57"/>
      <c r="M111" s="59"/>
    </row>
    <row r="112" spans="1:13" ht="15">
      <c r="A112" s="1" t="s">
        <v>48</v>
      </c>
      <c r="B112" s="88" t="s">
        <v>65</v>
      </c>
      <c r="C112" s="71">
        <v>1</v>
      </c>
      <c r="D112" s="72">
        <v>575</v>
      </c>
      <c r="E112" s="91">
        <v>11</v>
      </c>
      <c r="F112" s="57">
        <v>0.5</v>
      </c>
      <c r="G112" s="57">
        <v>0.01</v>
      </c>
      <c r="H112" s="56">
        <v>1</v>
      </c>
      <c r="I112" s="58"/>
      <c r="J112" s="58"/>
      <c r="K112" s="57" t="e">
        <f t="shared" si="13"/>
        <v>#DIV/0!</v>
      </c>
      <c r="L112" s="57" t="e">
        <f t="shared" si="14"/>
        <v>#DIV/0!</v>
      </c>
      <c r="M112" s="59" t="e">
        <f t="shared" si="12"/>
        <v>#DIV/0!</v>
      </c>
    </row>
    <row r="113" spans="1:13" ht="15">
      <c r="A113" s="1" t="s">
        <v>48</v>
      </c>
      <c r="B113" s="88" t="s">
        <v>65</v>
      </c>
      <c r="C113" s="71">
        <v>3</v>
      </c>
      <c r="D113" s="72">
        <v>500</v>
      </c>
      <c r="E113" s="91">
        <v>14</v>
      </c>
      <c r="F113" s="57">
        <v>0.5</v>
      </c>
      <c r="G113" s="57">
        <v>0.01</v>
      </c>
      <c r="H113" s="56">
        <v>1</v>
      </c>
      <c r="I113" s="58"/>
      <c r="J113" s="58"/>
      <c r="K113" s="57" t="e">
        <f t="shared" si="13"/>
        <v>#DIV/0!</v>
      </c>
      <c r="L113" s="57" t="e">
        <f t="shared" si="14"/>
        <v>#DIV/0!</v>
      </c>
      <c r="M113" s="59" t="e">
        <f t="shared" si="12"/>
        <v>#DIV/0!</v>
      </c>
    </row>
    <row r="114" spans="1:13" ht="15">
      <c r="A114" s="1" t="s">
        <v>48</v>
      </c>
      <c r="B114" s="88" t="s">
        <v>65</v>
      </c>
      <c r="C114" s="71">
        <v>5</v>
      </c>
      <c r="D114" s="72">
        <v>450</v>
      </c>
      <c r="E114" s="91">
        <v>16</v>
      </c>
      <c r="F114" s="57">
        <v>0.5</v>
      </c>
      <c r="G114" s="57">
        <v>0.01</v>
      </c>
      <c r="H114" s="56">
        <v>1</v>
      </c>
      <c r="I114" s="58"/>
      <c r="J114" s="58"/>
      <c r="K114" s="57" t="e">
        <f t="shared" si="13"/>
        <v>#DIV/0!</v>
      </c>
      <c r="L114" s="57" t="e">
        <f t="shared" si="14"/>
        <v>#DIV/0!</v>
      </c>
      <c r="M114" s="59" t="e">
        <f t="shared" si="12"/>
        <v>#DIV/0!</v>
      </c>
    </row>
    <row r="115" spans="1:13" ht="15">
      <c r="A115" s="1" t="s">
        <v>48</v>
      </c>
      <c r="B115" s="88" t="s">
        <v>65</v>
      </c>
      <c r="C115" s="71">
        <v>7</v>
      </c>
      <c r="D115" s="72">
        <v>400</v>
      </c>
      <c r="E115" s="91">
        <v>26</v>
      </c>
      <c r="F115" s="57">
        <v>0.5</v>
      </c>
      <c r="G115" s="57">
        <v>0.01</v>
      </c>
      <c r="H115" s="56">
        <v>1</v>
      </c>
      <c r="I115" s="58"/>
      <c r="J115" s="58"/>
      <c r="K115" s="57" t="e">
        <f t="shared" si="13"/>
        <v>#DIV/0!</v>
      </c>
      <c r="L115" s="57" t="e">
        <f t="shared" si="14"/>
        <v>#DIV/0!</v>
      </c>
      <c r="M115" s="59" t="e">
        <f t="shared" si="12"/>
        <v>#DIV/0!</v>
      </c>
    </row>
    <row r="116" spans="1:13" ht="15">
      <c r="A116" s="1" t="s">
        <v>48</v>
      </c>
      <c r="B116" s="88" t="s">
        <v>65</v>
      </c>
      <c r="C116" s="71">
        <v>9</v>
      </c>
      <c r="D116" s="72">
        <v>300</v>
      </c>
      <c r="E116" s="91">
        <v>17</v>
      </c>
      <c r="F116" s="57">
        <v>0.5</v>
      </c>
      <c r="G116" s="57">
        <v>0.01</v>
      </c>
      <c r="H116" s="56">
        <v>1</v>
      </c>
      <c r="I116" s="58"/>
      <c r="J116" s="58"/>
      <c r="K116" s="57" t="e">
        <f t="shared" si="13"/>
        <v>#DIV/0!</v>
      </c>
      <c r="L116" s="57" t="e">
        <f t="shared" si="14"/>
        <v>#DIV/0!</v>
      </c>
      <c r="M116" s="59" t="e">
        <f t="shared" si="12"/>
        <v>#DIV/0!</v>
      </c>
    </row>
    <row r="117" spans="1:13" ht="15">
      <c r="A117" s="1" t="s">
        <v>48</v>
      </c>
      <c r="B117" s="88" t="s">
        <v>65</v>
      </c>
      <c r="C117" s="71">
        <v>11</v>
      </c>
      <c r="D117" s="72">
        <v>200</v>
      </c>
      <c r="E117" s="91">
        <v>23</v>
      </c>
      <c r="F117" s="57">
        <v>0.5</v>
      </c>
      <c r="G117" s="57">
        <v>0.01</v>
      </c>
      <c r="H117" s="56">
        <v>1</v>
      </c>
      <c r="I117" s="58"/>
      <c r="J117" s="58"/>
      <c r="K117" s="57" t="e">
        <f t="shared" si="13"/>
        <v>#DIV/0!</v>
      </c>
      <c r="L117" s="57" t="e">
        <f t="shared" si="14"/>
        <v>#DIV/0!</v>
      </c>
      <c r="M117" s="59" t="e">
        <f t="shared" si="12"/>
        <v>#DIV/0!</v>
      </c>
    </row>
    <row r="118" spans="1:13" ht="15">
      <c r="A118" s="1" t="s">
        <v>48</v>
      </c>
      <c r="B118" s="88" t="s">
        <v>65</v>
      </c>
      <c r="C118" s="71">
        <v>13</v>
      </c>
      <c r="D118" s="72">
        <v>100</v>
      </c>
      <c r="E118" s="92" t="s">
        <v>66</v>
      </c>
      <c r="F118" s="57">
        <v>0.5</v>
      </c>
      <c r="G118" s="57">
        <v>0.01</v>
      </c>
      <c r="H118" s="56">
        <v>1</v>
      </c>
      <c r="I118" s="58"/>
      <c r="J118" s="58"/>
      <c r="K118" s="57" t="e">
        <f t="shared" si="13"/>
        <v>#DIV/0!</v>
      </c>
      <c r="L118" s="57" t="e">
        <f t="shared" si="14"/>
        <v>#DIV/0!</v>
      </c>
      <c r="M118" s="59" t="e">
        <f t="shared" si="12"/>
        <v>#DIV/0!</v>
      </c>
    </row>
    <row r="119" spans="1:13" ht="15">
      <c r="A119" s="1" t="s">
        <v>48</v>
      </c>
      <c r="B119" s="88" t="s">
        <v>65</v>
      </c>
      <c r="C119" s="71">
        <v>15</v>
      </c>
      <c r="D119" s="72">
        <v>40</v>
      </c>
      <c r="E119" s="91">
        <v>36</v>
      </c>
      <c r="F119" s="57">
        <v>0.5</v>
      </c>
      <c r="G119" s="57">
        <v>0.01</v>
      </c>
      <c r="H119" s="56">
        <v>1</v>
      </c>
      <c r="I119" s="58"/>
      <c r="J119" s="58"/>
      <c r="K119" s="57" t="e">
        <f t="shared" si="13"/>
        <v>#DIV/0!</v>
      </c>
      <c r="L119" s="57" t="e">
        <f t="shared" si="14"/>
        <v>#DIV/0!</v>
      </c>
      <c r="M119" s="59" t="e">
        <f t="shared" si="12"/>
        <v>#DIV/0!</v>
      </c>
    </row>
    <row r="120" spans="1:13" ht="15">
      <c r="A120" s="1" t="s">
        <v>48</v>
      </c>
      <c r="B120" s="88" t="s">
        <v>65</v>
      </c>
      <c r="C120" s="71">
        <v>16</v>
      </c>
      <c r="D120" s="72">
        <v>40</v>
      </c>
      <c r="E120" s="91">
        <v>25</v>
      </c>
      <c r="F120" s="57">
        <v>0.5</v>
      </c>
      <c r="G120" s="57">
        <v>0.01</v>
      </c>
      <c r="H120" s="56">
        <v>1</v>
      </c>
      <c r="I120" s="58"/>
      <c r="J120" s="58"/>
      <c r="K120" s="57" t="e">
        <f t="shared" si="13"/>
        <v>#DIV/0!</v>
      </c>
      <c r="L120" s="57" t="e">
        <f t="shared" si="14"/>
        <v>#DIV/0!</v>
      </c>
      <c r="M120" s="59" t="e">
        <f t="shared" si="12"/>
        <v>#DIV/0!</v>
      </c>
    </row>
    <row r="121" spans="1:13" ht="15">
      <c r="A121" s="1" t="s">
        <v>48</v>
      </c>
      <c r="B121" s="88" t="s">
        <v>65</v>
      </c>
      <c r="C121" s="71">
        <v>17</v>
      </c>
      <c r="D121" s="72">
        <v>20</v>
      </c>
      <c r="E121" s="91" t="s">
        <v>67</v>
      </c>
      <c r="F121" s="57">
        <v>0.5</v>
      </c>
      <c r="G121" s="57">
        <v>0.01</v>
      </c>
      <c r="H121" s="56">
        <v>1</v>
      </c>
      <c r="I121" s="58"/>
      <c r="J121" s="58"/>
      <c r="K121" s="57" t="e">
        <f t="shared" si="13"/>
        <v>#DIV/0!</v>
      </c>
      <c r="L121" s="57" t="e">
        <f t="shared" si="14"/>
        <v>#DIV/0!</v>
      </c>
      <c r="M121" s="59" t="e">
        <f t="shared" si="12"/>
        <v>#DIV/0!</v>
      </c>
    </row>
    <row r="122" spans="1:13" ht="15">
      <c r="A122" s="1" t="s">
        <v>48</v>
      </c>
      <c r="B122" s="88" t="s">
        <v>65</v>
      </c>
      <c r="C122" s="71">
        <v>18</v>
      </c>
      <c r="D122" s="72">
        <v>20</v>
      </c>
      <c r="E122" s="91">
        <v>19</v>
      </c>
      <c r="F122" s="57">
        <v>0.5</v>
      </c>
      <c r="G122" s="57">
        <v>0.01</v>
      </c>
      <c r="H122" s="56">
        <v>1</v>
      </c>
      <c r="I122" s="58"/>
      <c r="J122" s="58"/>
      <c r="K122" s="57" t="e">
        <f t="shared" si="13"/>
        <v>#DIV/0!</v>
      </c>
      <c r="L122" s="57" t="e">
        <f t="shared" si="14"/>
        <v>#DIV/0!</v>
      </c>
      <c r="M122" s="59" t="e">
        <f t="shared" si="12"/>
        <v>#DIV/0!</v>
      </c>
    </row>
    <row r="123" spans="1:13" ht="15">
      <c r="A123" s="1" t="s">
        <v>48</v>
      </c>
      <c r="B123" s="88" t="s">
        <v>65</v>
      </c>
      <c r="C123" s="71">
        <v>19</v>
      </c>
      <c r="D123" s="72">
        <v>10</v>
      </c>
      <c r="E123" s="91">
        <v>15</v>
      </c>
      <c r="F123" s="57">
        <v>0.5</v>
      </c>
      <c r="G123" s="57">
        <v>0.01</v>
      </c>
      <c r="H123" s="56">
        <v>1</v>
      </c>
      <c r="I123" s="58"/>
      <c r="J123" s="58"/>
      <c r="K123" s="57" t="e">
        <f t="shared" si="13"/>
        <v>#DIV/0!</v>
      </c>
      <c r="L123" s="57" t="e">
        <f t="shared" si="14"/>
        <v>#DIV/0!</v>
      </c>
      <c r="M123" s="59" t="e">
        <f t="shared" si="12"/>
        <v>#DIV/0!</v>
      </c>
    </row>
    <row r="124" spans="1:13" ht="15">
      <c r="B124" s="86"/>
      <c r="D124" s="72"/>
      <c r="E124" s="91"/>
      <c r="F124" s="57"/>
      <c r="G124" s="57"/>
      <c r="H124" s="56"/>
      <c r="I124" s="58"/>
      <c r="J124" s="58"/>
      <c r="K124" s="57"/>
      <c r="L124" s="57"/>
      <c r="M124" s="59"/>
    </row>
    <row r="125" spans="1:13" ht="15">
      <c r="A125" s="1" t="s">
        <v>48</v>
      </c>
      <c r="B125" s="88">
        <v>23</v>
      </c>
      <c r="C125" s="71">
        <v>4</v>
      </c>
      <c r="D125" s="72">
        <v>2600</v>
      </c>
      <c r="E125" s="91">
        <v>10</v>
      </c>
      <c r="F125" s="57">
        <v>0.5</v>
      </c>
      <c r="G125" s="57">
        <v>0.01</v>
      </c>
      <c r="H125" s="56">
        <v>1</v>
      </c>
      <c r="I125" s="58"/>
      <c r="J125" s="58"/>
      <c r="K125" s="57" t="e">
        <f t="shared" si="13"/>
        <v>#DIV/0!</v>
      </c>
      <c r="L125" s="57" t="e">
        <f t="shared" si="14"/>
        <v>#DIV/0!</v>
      </c>
      <c r="M125" s="59" t="e">
        <f t="shared" si="12"/>
        <v>#DIV/0!</v>
      </c>
    </row>
    <row r="126" spans="1:13" ht="15">
      <c r="A126" s="1" t="s">
        <v>48</v>
      </c>
      <c r="B126" s="88">
        <v>23</v>
      </c>
      <c r="C126" s="71">
        <v>6</v>
      </c>
      <c r="D126" s="72">
        <v>1000</v>
      </c>
      <c r="E126" s="91">
        <v>12</v>
      </c>
      <c r="F126" s="57">
        <v>0.5</v>
      </c>
      <c r="G126" s="57">
        <v>0.01</v>
      </c>
      <c r="H126" s="56">
        <v>1</v>
      </c>
      <c r="I126" s="58"/>
      <c r="J126" s="58"/>
      <c r="K126" s="57" t="e">
        <f t="shared" si="13"/>
        <v>#DIV/0!</v>
      </c>
      <c r="L126" s="57" t="e">
        <f t="shared" si="14"/>
        <v>#DIV/0!</v>
      </c>
      <c r="M126" s="59" t="e">
        <f t="shared" si="12"/>
        <v>#DIV/0!</v>
      </c>
    </row>
    <row r="127" spans="1:13" ht="15">
      <c r="A127" s="1" t="s">
        <v>48</v>
      </c>
      <c r="B127" s="88">
        <v>23</v>
      </c>
      <c r="C127" s="71">
        <v>9</v>
      </c>
      <c r="D127" s="72">
        <v>80</v>
      </c>
      <c r="E127" s="91">
        <v>13</v>
      </c>
      <c r="F127" s="57">
        <v>0.5</v>
      </c>
      <c r="G127" s="57">
        <v>0.01</v>
      </c>
      <c r="H127" s="56">
        <v>1</v>
      </c>
      <c r="I127" s="58"/>
      <c r="J127" s="58"/>
      <c r="K127" s="57" t="e">
        <f t="shared" si="13"/>
        <v>#DIV/0!</v>
      </c>
      <c r="L127" s="57" t="e">
        <f t="shared" si="14"/>
        <v>#DIV/0!</v>
      </c>
      <c r="M127" s="59" t="e">
        <f t="shared" si="12"/>
        <v>#DIV/0!</v>
      </c>
    </row>
    <row r="128" spans="1:13" ht="15">
      <c r="B128" s="86"/>
      <c r="D128" s="72"/>
      <c r="E128" s="91"/>
      <c r="F128" s="57"/>
      <c r="G128" s="57"/>
      <c r="H128" s="56"/>
      <c r="I128" s="58"/>
      <c r="J128" s="58"/>
      <c r="K128" s="57"/>
      <c r="L128" s="57"/>
      <c r="M128" s="59"/>
    </row>
    <row r="129" spans="1:13" ht="15">
      <c r="A129" s="1" t="s">
        <v>48</v>
      </c>
      <c r="B129" s="90" t="s">
        <v>55</v>
      </c>
      <c r="C129" s="72" t="s">
        <v>56</v>
      </c>
      <c r="D129" s="72">
        <v>160</v>
      </c>
      <c r="E129" s="91">
        <v>25</v>
      </c>
      <c r="F129" s="57">
        <v>0.5</v>
      </c>
      <c r="G129" s="57">
        <v>0.01</v>
      </c>
      <c r="H129" s="56">
        <v>1</v>
      </c>
      <c r="I129" s="58"/>
      <c r="J129" s="58"/>
      <c r="K129" s="57" t="e">
        <f t="shared" si="13"/>
        <v>#DIV/0!</v>
      </c>
      <c r="L129" s="57" t="e">
        <f t="shared" si="14"/>
        <v>#DIV/0!</v>
      </c>
      <c r="M129" s="59" t="e">
        <f t="shared" si="12"/>
        <v>#DIV/0!</v>
      </c>
    </row>
    <row r="130" spans="1:13" ht="15">
      <c r="A130" s="1" t="s">
        <v>48</v>
      </c>
      <c r="B130" s="90" t="s">
        <v>55</v>
      </c>
      <c r="C130" s="72" t="s">
        <v>57</v>
      </c>
      <c r="D130" s="72">
        <v>100</v>
      </c>
      <c r="E130" s="91">
        <v>18</v>
      </c>
      <c r="F130" s="57">
        <v>0.5</v>
      </c>
      <c r="G130" s="57">
        <v>0.01</v>
      </c>
      <c r="H130" s="56">
        <v>1</v>
      </c>
      <c r="I130" s="58"/>
      <c r="J130" s="58"/>
      <c r="K130" s="57" t="e">
        <f t="shared" si="13"/>
        <v>#DIV/0!</v>
      </c>
      <c r="L130" s="57" t="e">
        <f t="shared" si="14"/>
        <v>#DIV/0!</v>
      </c>
      <c r="M130" s="59" t="e">
        <f t="shared" si="12"/>
        <v>#DIV/0!</v>
      </c>
    </row>
    <row r="131" spans="1:13" ht="15">
      <c r="A131" s="1" t="s">
        <v>48</v>
      </c>
      <c r="B131" s="90" t="s">
        <v>55</v>
      </c>
      <c r="C131" s="72" t="s">
        <v>58</v>
      </c>
      <c r="D131" s="72">
        <v>60</v>
      </c>
      <c r="E131" s="91" t="s">
        <v>63</v>
      </c>
      <c r="F131" s="57">
        <v>0.5</v>
      </c>
      <c r="G131" s="57">
        <v>0.01</v>
      </c>
      <c r="H131" s="56">
        <v>1</v>
      </c>
      <c r="I131" s="58"/>
      <c r="J131" s="58"/>
      <c r="K131" s="57" t="e">
        <f t="shared" si="13"/>
        <v>#DIV/0!</v>
      </c>
      <c r="L131" s="57" t="e">
        <f t="shared" si="14"/>
        <v>#DIV/0!</v>
      </c>
      <c r="M131" s="59" t="e">
        <f t="shared" si="12"/>
        <v>#DIV/0!</v>
      </c>
    </row>
    <row r="132" spans="1:13" ht="15">
      <c r="A132" s="1" t="s">
        <v>48</v>
      </c>
      <c r="B132" s="90" t="s">
        <v>55</v>
      </c>
      <c r="C132" s="72" t="s">
        <v>59</v>
      </c>
      <c r="D132" s="72">
        <v>30</v>
      </c>
      <c r="E132" s="91">
        <v>19</v>
      </c>
      <c r="F132" s="57">
        <v>0.5</v>
      </c>
      <c r="G132" s="57">
        <v>0.01</v>
      </c>
      <c r="H132" s="56">
        <v>1</v>
      </c>
      <c r="I132" s="58"/>
      <c r="J132" s="58"/>
      <c r="K132" s="57" t="e">
        <f t="shared" si="13"/>
        <v>#DIV/0!</v>
      </c>
      <c r="L132" s="57" t="e">
        <f t="shared" si="14"/>
        <v>#DIV/0!</v>
      </c>
      <c r="M132" s="59" t="e">
        <f t="shared" si="12"/>
        <v>#DIV/0!</v>
      </c>
    </row>
    <row r="133" spans="1:13" ht="15">
      <c r="B133" s="86"/>
      <c r="D133" s="72"/>
      <c r="E133" s="91"/>
      <c r="F133" s="57"/>
      <c r="G133" s="57"/>
      <c r="H133" s="56"/>
      <c r="I133" s="58"/>
      <c r="J133" s="58"/>
      <c r="K133" s="57"/>
      <c r="L133" s="57"/>
      <c r="M133" s="59"/>
    </row>
    <row r="134" spans="1:13" ht="15">
      <c r="A134" s="1" t="s">
        <v>48</v>
      </c>
      <c r="B134" s="90" t="s">
        <v>61</v>
      </c>
      <c r="C134" s="72" t="s">
        <v>56</v>
      </c>
      <c r="D134" s="72">
        <v>2890</v>
      </c>
      <c r="E134" s="91">
        <v>16</v>
      </c>
      <c r="F134" s="57">
        <v>0.5</v>
      </c>
      <c r="G134" s="57">
        <v>0.01</v>
      </c>
      <c r="H134" s="56">
        <v>1</v>
      </c>
      <c r="I134" s="58"/>
      <c r="J134" s="58"/>
      <c r="K134" s="57" t="e">
        <f t="shared" si="13"/>
        <v>#DIV/0!</v>
      </c>
      <c r="L134" s="57" t="e">
        <f t="shared" si="14"/>
        <v>#DIV/0!</v>
      </c>
      <c r="M134" s="59" t="e">
        <f t="shared" si="12"/>
        <v>#DIV/0!</v>
      </c>
    </row>
    <row r="135" spans="1:13" ht="15">
      <c r="A135" s="1" t="s">
        <v>48</v>
      </c>
      <c r="B135" s="90" t="s">
        <v>61</v>
      </c>
      <c r="C135" s="72" t="s">
        <v>57</v>
      </c>
      <c r="D135" s="72">
        <v>2798</v>
      </c>
      <c r="E135" s="91">
        <v>18</v>
      </c>
      <c r="F135" s="57">
        <v>0.5</v>
      </c>
      <c r="G135" s="57">
        <v>0.01</v>
      </c>
      <c r="H135" s="56">
        <v>1</v>
      </c>
      <c r="I135" s="58"/>
      <c r="J135" s="58"/>
      <c r="K135" s="57" t="e">
        <f t="shared" si="13"/>
        <v>#DIV/0!</v>
      </c>
      <c r="L135" s="57" t="e">
        <f t="shared" si="14"/>
        <v>#DIV/0!</v>
      </c>
      <c r="M135" s="59" t="e">
        <f t="shared" si="12"/>
        <v>#DIV/0!</v>
      </c>
    </row>
    <row r="136" spans="1:13" ht="15">
      <c r="A136" s="1" t="s">
        <v>48</v>
      </c>
      <c r="B136" s="90" t="s">
        <v>61</v>
      </c>
      <c r="C136" s="72" t="s">
        <v>58</v>
      </c>
      <c r="D136" s="72">
        <v>2598</v>
      </c>
      <c r="E136" s="91">
        <v>23</v>
      </c>
      <c r="F136" s="57">
        <v>0.5</v>
      </c>
      <c r="G136" s="57">
        <v>0.01</v>
      </c>
      <c r="H136" s="56">
        <v>1</v>
      </c>
      <c r="I136" s="58"/>
      <c r="J136" s="58"/>
      <c r="K136" s="57" t="e">
        <f t="shared" si="13"/>
        <v>#DIV/0!</v>
      </c>
      <c r="L136" s="57" t="e">
        <f t="shared" si="14"/>
        <v>#DIV/0!</v>
      </c>
      <c r="M136" s="59" t="e">
        <f t="shared" si="12"/>
        <v>#DIV/0!</v>
      </c>
    </row>
    <row r="137" spans="1:13" ht="15">
      <c r="A137" s="1" t="s">
        <v>48</v>
      </c>
      <c r="B137" s="90" t="s">
        <v>61</v>
      </c>
      <c r="C137" s="72" t="s">
        <v>59</v>
      </c>
      <c r="D137" s="72">
        <v>2698</v>
      </c>
      <c r="E137" s="91">
        <v>25</v>
      </c>
      <c r="F137" s="57">
        <v>0.5</v>
      </c>
      <c r="G137" s="57">
        <v>0.01</v>
      </c>
      <c r="H137" s="56">
        <v>1</v>
      </c>
      <c r="I137" s="58"/>
      <c r="J137" s="58"/>
      <c r="K137" s="57" t="e">
        <f t="shared" si="13"/>
        <v>#DIV/0!</v>
      </c>
      <c r="L137" s="57" t="e">
        <f t="shared" si="14"/>
        <v>#DIV/0!</v>
      </c>
      <c r="M137" s="59" t="e">
        <f t="shared" si="12"/>
        <v>#DIV/0!</v>
      </c>
    </row>
    <row r="138" spans="1:13" ht="15">
      <c r="B138" s="86"/>
      <c r="D138" s="72"/>
      <c r="E138" s="91"/>
      <c r="F138" s="57"/>
      <c r="G138" s="57"/>
      <c r="H138" s="56"/>
      <c r="I138" s="58"/>
      <c r="J138" s="58"/>
      <c r="K138" s="57"/>
      <c r="L138" s="57"/>
      <c r="M138" s="59"/>
    </row>
    <row r="139" spans="1:13" ht="15">
      <c r="A139" s="1" t="s">
        <v>48</v>
      </c>
      <c r="B139" s="90" t="s">
        <v>62</v>
      </c>
      <c r="C139" s="72" t="s">
        <v>56</v>
      </c>
      <c r="D139" s="72">
        <v>574</v>
      </c>
      <c r="E139" s="91" t="s">
        <v>51</v>
      </c>
      <c r="F139" s="57">
        <v>0.5</v>
      </c>
      <c r="G139" s="57">
        <v>0.01</v>
      </c>
      <c r="H139" s="56">
        <v>1</v>
      </c>
      <c r="I139" s="58"/>
      <c r="J139" s="58"/>
      <c r="K139" s="57" t="e">
        <f t="shared" si="13"/>
        <v>#DIV/0!</v>
      </c>
      <c r="L139" s="57" t="e">
        <f t="shared" si="14"/>
        <v>#DIV/0!</v>
      </c>
      <c r="M139" s="59" t="e">
        <f t="shared" si="12"/>
        <v>#DIV/0!</v>
      </c>
    </row>
    <row r="140" spans="1:13" ht="15">
      <c r="A140" s="1" t="s">
        <v>48</v>
      </c>
      <c r="B140" s="90" t="s">
        <v>62</v>
      </c>
      <c r="C140" s="72" t="s">
        <v>57</v>
      </c>
      <c r="D140" s="72">
        <v>501</v>
      </c>
      <c r="E140" s="91" t="s">
        <v>49</v>
      </c>
      <c r="F140" s="57">
        <v>0.5</v>
      </c>
      <c r="G140" s="57">
        <v>0.01</v>
      </c>
      <c r="H140" s="56">
        <v>1</v>
      </c>
      <c r="I140" s="58"/>
      <c r="J140" s="58"/>
      <c r="K140" s="57" t="e">
        <f t="shared" si="13"/>
        <v>#DIV/0!</v>
      </c>
      <c r="L140" s="57" t="e">
        <f t="shared" si="14"/>
        <v>#DIV/0!</v>
      </c>
      <c r="M140" s="59" t="e">
        <f t="shared" si="12"/>
        <v>#DIV/0!</v>
      </c>
    </row>
    <row r="141" spans="1:13" ht="15">
      <c r="A141" s="1" t="s">
        <v>48</v>
      </c>
      <c r="B141" s="90" t="s">
        <v>62</v>
      </c>
      <c r="C141" s="72" t="s">
        <v>58</v>
      </c>
      <c r="D141" s="72">
        <v>450</v>
      </c>
      <c r="E141" s="91" t="s">
        <v>53</v>
      </c>
      <c r="F141" s="57">
        <v>0.5</v>
      </c>
      <c r="G141" s="57">
        <v>0.01</v>
      </c>
      <c r="H141" s="56">
        <v>1</v>
      </c>
      <c r="I141" s="58"/>
      <c r="J141" s="58"/>
      <c r="K141" s="57" t="e">
        <f t="shared" si="13"/>
        <v>#DIV/0!</v>
      </c>
      <c r="L141" s="57" t="e">
        <f t="shared" si="14"/>
        <v>#DIV/0!</v>
      </c>
      <c r="M141" s="59" t="e">
        <f t="shared" si="12"/>
        <v>#DIV/0!</v>
      </c>
    </row>
    <row r="142" spans="1:13" ht="15">
      <c r="A142" s="1" t="s">
        <v>48</v>
      </c>
      <c r="B142" s="90" t="s">
        <v>62</v>
      </c>
      <c r="C142" s="72" t="s">
        <v>59</v>
      </c>
      <c r="D142" s="72">
        <v>39</v>
      </c>
      <c r="E142" s="91" t="s">
        <v>52</v>
      </c>
      <c r="F142" s="57">
        <v>0.5</v>
      </c>
      <c r="G142" s="57">
        <v>0.01</v>
      </c>
      <c r="H142" s="56">
        <v>1</v>
      </c>
      <c r="I142" s="58"/>
      <c r="J142" s="58"/>
      <c r="K142" s="57" t="e">
        <f t="shared" si="13"/>
        <v>#DIV/0!</v>
      </c>
      <c r="L142" s="57" t="e">
        <f t="shared" si="14"/>
        <v>#DIV/0!</v>
      </c>
      <c r="M142" s="59" t="e">
        <f t="shared" si="12"/>
        <v>#DIV/0!</v>
      </c>
    </row>
    <row r="143" spans="1:13" ht="15">
      <c r="D143" s="72"/>
      <c r="E143" s="56"/>
      <c r="F143" s="57"/>
      <c r="G143" s="57"/>
      <c r="H143" s="56"/>
      <c r="I143" s="58"/>
      <c r="J143" s="58"/>
      <c r="K143" s="57"/>
      <c r="L143" s="57"/>
      <c r="M143" s="59"/>
    </row>
    <row r="144" spans="1:13" ht="15">
      <c r="D144" s="72"/>
      <c r="E144" s="56"/>
      <c r="F144" s="57"/>
      <c r="G144" s="57"/>
      <c r="H144" s="56"/>
      <c r="I144" s="58"/>
      <c r="J144" s="58"/>
      <c r="K144" s="57"/>
      <c r="L144" s="57"/>
      <c r="M144" s="59"/>
    </row>
    <row r="145" spans="4:13" ht="15">
      <c r="D145" s="72"/>
      <c r="E145" s="56"/>
      <c r="F145" s="57"/>
      <c r="G145" s="57"/>
      <c r="H145" s="56"/>
      <c r="I145" s="58"/>
      <c r="J145" s="58"/>
      <c r="K145" s="57"/>
      <c r="L145" s="57"/>
      <c r="M145" s="59"/>
    </row>
    <row r="146" spans="4:13" ht="15">
      <c r="D146" s="72"/>
      <c r="E146" s="56"/>
      <c r="F146" s="57"/>
      <c r="G146" s="57"/>
      <c r="H146" s="56"/>
      <c r="I146" s="58"/>
      <c r="J146" s="58"/>
      <c r="K146" s="57"/>
      <c r="L146" s="57"/>
      <c r="M146" s="59"/>
    </row>
    <row r="147" spans="4:13" ht="15">
      <c r="D147" s="72"/>
      <c r="E147" s="56"/>
      <c r="F147" s="57"/>
      <c r="G147" s="57"/>
      <c r="H147" s="56"/>
      <c r="I147" s="58"/>
      <c r="J147" s="58"/>
      <c r="K147" s="57"/>
      <c r="L147" s="57"/>
      <c r="M147" s="59"/>
    </row>
    <row r="148" spans="4:13" ht="15">
      <c r="D148" s="72"/>
      <c r="E148" s="56"/>
      <c r="F148" s="57"/>
      <c r="G148" s="57"/>
      <c r="H148" s="56"/>
      <c r="I148" s="58"/>
      <c r="J148" s="58"/>
      <c r="K148" s="57"/>
      <c r="L148" s="57"/>
      <c r="M148" s="59"/>
    </row>
    <row r="149" spans="4:13" ht="15">
      <c r="D149" s="72"/>
      <c r="E149" s="56"/>
      <c r="F149" s="57"/>
      <c r="G149" s="57"/>
      <c r="H149" s="56"/>
      <c r="I149" s="58"/>
      <c r="J149" s="58"/>
      <c r="K149" s="57"/>
      <c r="L149" s="57"/>
      <c r="M149" s="59"/>
    </row>
    <row r="150" spans="4:13" ht="15">
      <c r="D150" s="72"/>
      <c r="E150" s="56"/>
      <c r="F150" s="57"/>
      <c r="G150" s="57"/>
      <c r="H150" s="56"/>
      <c r="I150" s="58"/>
      <c r="J150" s="58"/>
      <c r="K150" s="57"/>
      <c r="L150" s="57"/>
      <c r="M150" s="59"/>
    </row>
    <row r="151" spans="4:13" ht="15">
      <c r="D151" s="72"/>
      <c r="E151" s="56"/>
      <c r="F151" s="57"/>
      <c r="G151" s="57"/>
      <c r="H151" s="56"/>
      <c r="I151" s="58"/>
      <c r="J151" s="58"/>
      <c r="K151" s="57"/>
      <c r="L151" s="57"/>
      <c r="M151" s="59"/>
    </row>
    <row r="152" spans="4:13" ht="15">
      <c r="D152" s="72"/>
      <c r="E152" s="56"/>
      <c r="F152" s="57"/>
      <c r="G152" s="57"/>
      <c r="H152" s="56"/>
      <c r="I152" s="58"/>
      <c r="J152" s="58"/>
      <c r="K152" s="57"/>
      <c r="L152" s="57"/>
      <c r="M152" s="59"/>
    </row>
    <row r="153" spans="4:13" ht="15">
      <c r="D153" s="72"/>
      <c r="E153" s="56"/>
      <c r="F153" s="57"/>
      <c r="G153" s="57"/>
      <c r="H153" s="56"/>
      <c r="I153" s="58"/>
      <c r="J153" s="58"/>
      <c r="K153" s="57"/>
      <c r="L153" s="57"/>
      <c r="M153" s="59"/>
    </row>
    <row r="154" spans="4:13" ht="15">
      <c r="D154" s="72"/>
      <c r="E154" s="56"/>
      <c r="F154" s="57"/>
      <c r="G154" s="57"/>
      <c r="H154" s="56"/>
      <c r="I154" s="58"/>
      <c r="J154" s="58"/>
      <c r="K154" s="57"/>
      <c r="L154" s="57"/>
      <c r="M154" s="59"/>
    </row>
    <row r="155" spans="4:13" ht="15">
      <c r="D155" s="72"/>
      <c r="E155" s="56"/>
      <c r="F155" s="57"/>
      <c r="G155" s="57"/>
      <c r="H155" s="56"/>
      <c r="I155" s="58"/>
      <c r="J155" s="58"/>
      <c r="K155" s="57"/>
      <c r="L155" s="57"/>
      <c r="M155" s="59"/>
    </row>
    <row r="156" spans="4:13" ht="15">
      <c r="D156" s="72"/>
      <c r="E156" s="56"/>
      <c r="F156" s="57"/>
      <c r="G156" s="57"/>
      <c r="H156" s="56"/>
      <c r="I156" s="58"/>
      <c r="J156" s="58"/>
      <c r="K156" s="57"/>
      <c r="L156" s="57"/>
      <c r="M156" s="59"/>
    </row>
    <row r="157" spans="4:13" ht="15">
      <c r="D157" s="72"/>
      <c r="E157" s="56"/>
      <c r="F157" s="57"/>
      <c r="G157" s="57"/>
      <c r="H157" s="56"/>
      <c r="I157" s="58"/>
      <c r="J157" s="58"/>
      <c r="K157" s="57"/>
      <c r="L157" s="57"/>
      <c r="M157" s="59"/>
    </row>
    <row r="158" spans="4:13" ht="15">
      <c r="D158" s="72"/>
      <c r="E158" s="56"/>
      <c r="F158" s="57"/>
      <c r="G158" s="57"/>
      <c r="H158" s="56"/>
      <c r="I158" s="58"/>
      <c r="J158" s="58"/>
      <c r="K158" s="57"/>
      <c r="L158" s="57"/>
      <c r="M158" s="59"/>
    </row>
    <row r="159" spans="4:13" ht="15">
      <c r="D159" s="72"/>
      <c r="E159" s="56"/>
      <c r="F159" s="57"/>
      <c r="G159" s="57"/>
      <c r="H159" s="56"/>
      <c r="I159" s="58"/>
      <c r="J159" s="58"/>
      <c r="K159" s="57"/>
      <c r="L159" s="57"/>
      <c r="M159" s="59"/>
    </row>
    <row r="160" spans="4:13" ht="15">
      <c r="D160" s="72"/>
      <c r="E160" s="56"/>
      <c r="F160" s="57"/>
      <c r="G160" s="57"/>
      <c r="H160" s="56"/>
      <c r="I160" s="58"/>
      <c r="J160" s="58"/>
      <c r="K160" s="57"/>
      <c r="L160" s="57"/>
      <c r="M160" s="59"/>
    </row>
    <row r="161" spans="4:13" ht="15">
      <c r="D161" s="72"/>
      <c r="E161" s="56"/>
      <c r="F161" s="57"/>
      <c r="G161" s="57"/>
      <c r="H161" s="56"/>
      <c r="I161" s="58"/>
      <c r="J161" s="58"/>
      <c r="K161" s="57"/>
      <c r="L161" s="57"/>
      <c r="M161" s="59"/>
    </row>
    <row r="162" spans="4:13" ht="15">
      <c r="D162" s="72"/>
      <c r="E162" s="56"/>
      <c r="F162" s="57"/>
      <c r="G162" s="57"/>
      <c r="H162" s="56"/>
      <c r="I162" s="58"/>
      <c r="J162" s="58"/>
      <c r="K162" s="57"/>
      <c r="L162" s="57"/>
      <c r="M162" s="59"/>
    </row>
    <row r="163" spans="4:13" ht="15">
      <c r="D163" s="72"/>
      <c r="E163" s="56"/>
      <c r="F163" s="57"/>
      <c r="G163" s="57"/>
      <c r="H163" s="56"/>
      <c r="I163" s="58"/>
      <c r="J163" s="58"/>
      <c r="K163" s="57"/>
      <c r="L163" s="57"/>
      <c r="M163" s="59"/>
    </row>
    <row r="164" spans="4:13" ht="15">
      <c r="D164" s="72"/>
      <c r="E164" s="56"/>
      <c r="F164" s="57"/>
      <c r="G164" s="57"/>
      <c r="H164" s="56"/>
      <c r="I164" s="58"/>
      <c r="J164" s="58"/>
      <c r="K164" s="57"/>
      <c r="L164" s="57"/>
      <c r="M164" s="59"/>
    </row>
    <row r="165" spans="4:13">
      <c r="D165" s="72"/>
      <c r="G165"/>
      <c r="H165"/>
    </row>
    <row r="166" spans="4:13">
      <c r="D166" s="72"/>
      <c r="G166"/>
      <c r="H166"/>
    </row>
    <row r="167" spans="4:13">
      <c r="D167" s="72"/>
      <c r="G167"/>
      <c r="H167"/>
    </row>
    <row r="168" spans="4:13">
      <c r="D168" s="72"/>
      <c r="G168"/>
      <c r="H168"/>
    </row>
    <row r="169" spans="4:13">
      <c r="D169" s="72"/>
      <c r="G169"/>
      <c r="H169"/>
    </row>
    <row r="170" spans="4:13">
      <c r="D170" s="72"/>
      <c r="G170"/>
      <c r="H170"/>
    </row>
    <row r="171" spans="4:13">
      <c r="D171" s="72"/>
      <c r="G171"/>
      <c r="H171"/>
    </row>
    <row r="172" spans="4:13">
      <c r="D172" s="72"/>
      <c r="G172"/>
      <c r="H172"/>
    </row>
    <row r="173" spans="4:13">
      <c r="D173" s="72"/>
      <c r="G173"/>
      <c r="H173"/>
    </row>
    <row r="174" spans="4:13">
      <c r="D174" s="72"/>
      <c r="G174"/>
      <c r="H174"/>
    </row>
    <row r="175" spans="4:13">
      <c r="D175" s="72"/>
      <c r="G175"/>
      <c r="H175"/>
    </row>
    <row r="176" spans="4:13">
      <c r="D176" s="72"/>
      <c r="G176"/>
      <c r="H176"/>
    </row>
    <row r="177" spans="4:8">
      <c r="D177" s="72"/>
      <c r="G177"/>
      <c r="H177"/>
    </row>
    <row r="178" spans="4:8">
      <c r="D178" s="72"/>
      <c r="G178"/>
      <c r="H178"/>
    </row>
    <row r="179" spans="4:8">
      <c r="D179" s="72"/>
      <c r="G179"/>
      <c r="H179"/>
    </row>
    <row r="180" spans="4:8">
      <c r="D180" s="72"/>
      <c r="G180"/>
      <c r="H180"/>
    </row>
    <row r="181" spans="4:8">
      <c r="D181" s="72"/>
      <c r="G181"/>
      <c r="H181"/>
    </row>
    <row r="182" spans="4:8">
      <c r="D182" s="72"/>
      <c r="G182"/>
      <c r="H182"/>
    </row>
    <row r="183" spans="4:8">
      <c r="D183" s="72"/>
      <c r="G183"/>
      <c r="H183"/>
    </row>
    <row r="184" spans="4:8">
      <c r="D184" s="72"/>
      <c r="G184"/>
      <c r="H184"/>
    </row>
    <row r="185" spans="4:8">
      <c r="D185" s="72"/>
      <c r="G185"/>
      <c r="H185"/>
    </row>
    <row r="186" spans="4:8">
      <c r="D186" s="72"/>
      <c r="G186"/>
      <c r="H186"/>
    </row>
    <row r="187" spans="4:8">
      <c r="D187" s="72"/>
      <c r="G187"/>
      <c r="H187"/>
    </row>
  </sheetData>
  <sortState ref="E17:M55">
    <sortCondition ref="E17"/>
  </sortState>
  <phoneticPr fontId="14" type="noConversion"/>
  <pageMargins left="0.75" right="0.75" top="1" bottom="1" header="0.5" footer="0.5"/>
  <pageSetup scale="84" fitToHeight="7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Orest Kawka</cp:lastModifiedBy>
  <cp:lastPrinted>2015-09-17T22:44:32Z</cp:lastPrinted>
  <dcterms:created xsi:type="dcterms:W3CDTF">2000-07-17T18:17:12Z</dcterms:created>
  <dcterms:modified xsi:type="dcterms:W3CDTF">2015-10-27T22:14:22Z</dcterms:modified>
</cp:coreProperties>
</file>