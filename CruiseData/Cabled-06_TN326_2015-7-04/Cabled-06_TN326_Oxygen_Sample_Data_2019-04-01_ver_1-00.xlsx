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rsn/Desktop/FileCabinet/Cruises/Cabled-6_TN326_2015-07-04_Visions15/Discrete_data/"/>
    </mc:Choice>
  </mc:AlternateContent>
  <xr:revisionPtr revIDLastSave="0" documentId="13_ncr:1_{B0318662-8D4F-1A4F-9211-6780C0F2DEEC}" xr6:coauthVersionLast="36" xr6:coauthVersionMax="36" xr10:uidLastSave="{00000000-0000-0000-0000-000000000000}"/>
  <bookViews>
    <workbookView xWindow="500" yWindow="460" windowWidth="35000" windowHeight="19460" activeTab="1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Sheet5" sheetId="8" r:id="rId5"/>
    <sheet name="Sheet6" sheetId="9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9" l="1"/>
  <c r="F5" i="9"/>
  <c r="G23" i="9" s="1"/>
  <c r="F6" i="8"/>
  <c r="F5" i="8"/>
  <c r="G22" i="9" l="1"/>
  <c r="G16" i="9"/>
  <c r="G17" i="9"/>
  <c r="G18" i="9"/>
  <c r="G19" i="9"/>
  <c r="G11" i="9"/>
  <c r="G20" i="9"/>
  <c r="G12" i="9"/>
  <c r="G21" i="9"/>
  <c r="G14" i="9"/>
  <c r="G13" i="9"/>
  <c r="G18" i="8"/>
  <c r="G19" i="8"/>
  <c r="G11" i="8"/>
  <c r="G20" i="8"/>
  <c r="G12" i="8"/>
  <c r="G21" i="8"/>
  <c r="G13" i="8"/>
  <c r="G14" i="8"/>
  <c r="G16" i="8"/>
  <c r="G17" i="8"/>
  <c r="G20" i="7" l="1"/>
  <c r="G19" i="7"/>
  <c r="G18" i="7"/>
  <c r="G17" i="7"/>
  <c r="G16" i="7"/>
  <c r="G15" i="7"/>
  <c r="G14" i="7"/>
  <c r="G12" i="7"/>
  <c r="F6" i="7"/>
  <c r="F5" i="7"/>
  <c r="G11" i="7" l="1"/>
  <c r="F6" i="6"/>
  <c r="G15" i="6" s="1"/>
  <c r="F5" i="6"/>
  <c r="F6" i="5"/>
  <c r="F5" i="5"/>
  <c r="G22" i="5" s="1"/>
  <c r="F6" i="4"/>
  <c r="F5" i="4"/>
  <c r="G21" i="4" s="1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3" i="6" l="1"/>
  <c r="G16" i="6"/>
  <c r="G14" i="6"/>
  <c r="G17" i="6"/>
  <c r="G18" i="6"/>
  <c r="G11" i="6"/>
  <c r="G19" i="5"/>
  <c r="G13" i="5"/>
  <c r="G21" i="5"/>
  <c r="G15" i="5"/>
  <c r="G16" i="5"/>
  <c r="G17" i="5"/>
  <c r="G18" i="5"/>
  <c r="G12" i="5"/>
  <c r="G20" i="5"/>
  <c r="G14" i="5"/>
  <c r="G11" i="5"/>
  <c r="G18" i="4"/>
  <c r="G19" i="4"/>
  <c r="G20" i="4"/>
  <c r="G14" i="4"/>
  <c r="G15" i="4"/>
  <c r="G16" i="4"/>
  <c r="G17" i="4"/>
  <c r="G12" i="4"/>
  <c r="G13" i="4"/>
  <c r="G11" i="4"/>
  <c r="F5" i="3" l="1"/>
  <c r="F6" i="3"/>
  <c r="G11" i="3" l="1"/>
</calcChain>
</file>

<file path=xl/sharedStrings.xml><?xml version="1.0" encoding="utf-8"?>
<sst xmlns="http://schemas.openxmlformats.org/spreadsheetml/2006/main" count="301" uniqueCount="52">
  <si>
    <t>Analyst:</t>
  </si>
  <si>
    <t>Bottle #</t>
  </si>
  <si>
    <t>Bottle Volume</t>
  </si>
  <si>
    <t>Buret Titer</t>
  </si>
  <si>
    <t>Comments</t>
  </si>
  <si>
    <t>ml</t>
  </si>
  <si>
    <t>ml/liter</t>
  </si>
  <si>
    <t>Date/Time:</t>
  </si>
  <si>
    <t>Blank #1</t>
  </si>
  <si>
    <t>Blank #2</t>
  </si>
  <si>
    <t>Standard Normality:</t>
  </si>
  <si>
    <t>(meters)</t>
  </si>
  <si>
    <t>Depth</t>
  </si>
  <si>
    <t>Oxygen Concentration</t>
  </si>
  <si>
    <t>Bottle</t>
  </si>
  <si>
    <t>Niskin</t>
  </si>
  <si>
    <t>Cast</t>
  </si>
  <si>
    <t>CTD</t>
  </si>
  <si>
    <t>Cruise #:</t>
  </si>
  <si>
    <t>Event #s:</t>
  </si>
  <si>
    <t>Standard #1</t>
  </si>
  <si>
    <t>Standard #2</t>
  </si>
  <si>
    <t>Standard #3</t>
  </si>
  <si>
    <t>Standard #4</t>
  </si>
  <si>
    <t>Correction Factor:</t>
  </si>
  <si>
    <t>Standard (avg):</t>
  </si>
  <si>
    <t>Pipette Volume:</t>
  </si>
  <si>
    <t>CTD-01</t>
  </si>
  <si>
    <t>217A</t>
  </si>
  <si>
    <t>218A</t>
  </si>
  <si>
    <t>219A</t>
  </si>
  <si>
    <t>DNS</t>
  </si>
  <si>
    <t>CTD-04</t>
  </si>
  <si>
    <t>224A</t>
  </si>
  <si>
    <t>225A</t>
  </si>
  <si>
    <t>Bottle #223 did not clear when blue I-starch complex disappeared, +1ml H2SO4 added and continued titrating</t>
  </si>
  <si>
    <t>CTD-11</t>
  </si>
  <si>
    <t>Dive R1849</t>
  </si>
  <si>
    <t>Strbrd Aft</t>
  </si>
  <si>
    <t>CTD-16</t>
  </si>
  <si>
    <t>Dive R1855</t>
  </si>
  <si>
    <t>Port Frwd</t>
  </si>
  <si>
    <t>Port Aft</t>
  </si>
  <si>
    <t>Strbrd Frwd</t>
  </si>
  <si>
    <t>CTD-20</t>
  </si>
  <si>
    <t>Dive R1859</t>
  </si>
  <si>
    <t>CTD-22</t>
  </si>
  <si>
    <t>Dive R1866</t>
  </si>
  <si>
    <t>Strbd Aft</t>
  </si>
  <si>
    <t>CTD-23</t>
  </si>
  <si>
    <t>222A</t>
  </si>
  <si>
    <t>VISIONS 15 TN326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</si>
</sst>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lightGray">
        <fgColor indexed="22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gray125">
        <fgColor theme="5" tint="0.39994506668294322"/>
        <bgColor theme="0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164" fontId="0" fillId="0" borderId="0" xfId="0" applyNumberFormat="1" applyFill="1" applyBorder="1"/>
    <xf numFmtId="2" fontId="0" fillId="0" borderId="0" xfId="0" applyNumberFormat="1" applyFill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 applyBorder="1"/>
    <xf numFmtId="0" fontId="0" fillId="0" borderId="0" xfId="0" applyFill="1" applyBorder="1"/>
    <xf numFmtId="164" fontId="0" fillId="0" borderId="0" xfId="0" applyNumberFormat="1" applyProtection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2" fontId="0" fillId="0" borderId="0" xfId="0" applyNumberFormat="1" applyBorder="1"/>
    <xf numFmtId="1" fontId="0" fillId="0" borderId="0" xfId="0" applyNumberFormat="1" applyBorder="1"/>
    <xf numFmtId="2" fontId="0" fillId="0" borderId="0" xfId="0" applyNumberForma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165" fontId="0" fillId="0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6" fontId="0" fillId="0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Alignment="1">
      <alignment horizontal="center"/>
    </xf>
    <xf numFmtId="167" fontId="0" fillId="0" borderId="0" xfId="0" applyNumberFormat="1" applyFill="1" applyAlignment="1">
      <alignment horizontal="center"/>
    </xf>
    <xf numFmtId="0" fontId="0" fillId="0" borderId="0" xfId="0" applyFill="1" applyBorder="1" applyAlignment="1"/>
    <xf numFmtId="2" fontId="0" fillId="0" borderId="0" xfId="0" applyNumberFormat="1" applyFill="1"/>
    <xf numFmtId="166" fontId="0" fillId="0" borderId="0" xfId="0" applyNumberFormat="1" applyFill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32"/>
  <sheetViews>
    <sheetView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4" t="s">
        <v>51</v>
      </c>
      <c r="C3" s="44"/>
      <c r="E3" s="13" t="s">
        <v>26</v>
      </c>
      <c r="F3" s="32">
        <v>10</v>
      </c>
      <c r="H3" t="s">
        <v>20</v>
      </c>
      <c r="I3" s="34">
        <v>0.502</v>
      </c>
      <c r="J3" t="s">
        <v>8</v>
      </c>
      <c r="K3" s="34">
        <v>0.05</v>
      </c>
    </row>
    <row r="4" spans="1:14" x14ac:dyDescent="0.2">
      <c r="A4" s="15" t="s">
        <v>19</v>
      </c>
      <c r="B4" s="44"/>
      <c r="C4" s="44"/>
      <c r="E4" s="7" t="s">
        <v>10</v>
      </c>
      <c r="F4" s="32">
        <v>0.01</v>
      </c>
      <c r="G4" s="8"/>
      <c r="H4" t="s">
        <v>21</v>
      </c>
      <c r="I4" s="34">
        <v>0.501</v>
      </c>
      <c r="J4" t="s">
        <v>9</v>
      </c>
      <c r="K4" s="34">
        <v>0.1</v>
      </c>
    </row>
    <row r="5" spans="1:14" x14ac:dyDescent="0.2">
      <c r="A5" s="15" t="s">
        <v>7</v>
      </c>
      <c r="B5" s="45">
        <v>42191</v>
      </c>
      <c r="C5" s="44"/>
      <c r="E5" s="7" t="s">
        <v>25</v>
      </c>
      <c r="F5" s="33">
        <f>AVERAGE(I3:I6)</f>
        <v>0.50225000000000009</v>
      </c>
      <c r="G5" s="8"/>
      <c r="H5" t="s">
        <v>22</v>
      </c>
      <c r="I5" s="34">
        <v>0.504</v>
      </c>
      <c r="K5" s="17"/>
    </row>
    <row r="6" spans="1:14" x14ac:dyDescent="0.2">
      <c r="A6" s="14" t="s">
        <v>0</v>
      </c>
      <c r="B6" s="44"/>
      <c r="C6" s="44"/>
      <c r="E6" s="24" t="s">
        <v>24</v>
      </c>
      <c r="F6" s="33">
        <f>K4-K3</f>
        <v>0.05</v>
      </c>
      <c r="G6" s="25"/>
      <c r="H6" t="s">
        <v>23</v>
      </c>
      <c r="I6" s="34">
        <v>0.502</v>
      </c>
    </row>
    <row r="7" spans="1:14" x14ac:dyDescent="0.2">
      <c r="A7" s="12"/>
      <c r="B7" s="12"/>
      <c r="C7" s="12"/>
      <c r="D7" s="12"/>
      <c r="E7" s="12"/>
      <c r="F7" s="14"/>
      <c r="G7" s="14"/>
      <c r="H7" s="22"/>
      <c r="I7" s="23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6" t="s">
        <v>13</v>
      </c>
      <c r="H9" s="47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35" t="s">
        <v>27</v>
      </c>
      <c r="B11" s="35">
        <v>1</v>
      </c>
      <c r="C11" s="35">
        <v>1000</v>
      </c>
      <c r="D11" s="35" t="s">
        <v>28</v>
      </c>
      <c r="E11" s="30">
        <v>149.02000000000001</v>
      </c>
      <c r="F11" s="31">
        <v>3.5000000000000003E-2</v>
      </c>
      <c r="G11" s="29">
        <f>(((((F11-$F$6)*$F$3*$F$4*5598)/($F$5-$F$6))-1000*0.0017)/(E11-2))</f>
        <v>-0.13785310963885505</v>
      </c>
      <c r="N11" s="16"/>
    </row>
    <row r="12" spans="1:14" x14ac:dyDescent="0.2">
      <c r="A12" s="35" t="s">
        <v>27</v>
      </c>
      <c r="B12" s="35">
        <v>2</v>
      </c>
      <c r="C12" s="35">
        <v>1000</v>
      </c>
      <c r="D12" s="35" t="s">
        <v>29</v>
      </c>
      <c r="E12" s="30">
        <v>133.30000000000001</v>
      </c>
      <c r="F12" s="31">
        <v>3.85E-2</v>
      </c>
      <c r="G12" s="29">
        <f t="shared" ref="G12:G25" si="0">(((((F12-$F$6)*$F$3*$F$4*5598)/($F$5-$F$6))-1000*0.0017)/(E12-2))</f>
        <v>-0.1213619639805542</v>
      </c>
    </row>
    <row r="13" spans="1:14" x14ac:dyDescent="0.2">
      <c r="A13" s="35" t="s">
        <v>27</v>
      </c>
      <c r="B13" s="35">
        <v>3</v>
      </c>
      <c r="C13" s="35">
        <v>750</v>
      </c>
      <c r="D13" s="35" t="s">
        <v>30</v>
      </c>
      <c r="E13" s="30">
        <v>140.4</v>
      </c>
      <c r="F13" s="31">
        <v>3.3500000000000002E-2</v>
      </c>
      <c r="G13" s="29">
        <f t="shared" si="0"/>
        <v>-0.15985462859114827</v>
      </c>
    </row>
    <row r="14" spans="1:14" x14ac:dyDescent="0.2">
      <c r="A14" s="35" t="s">
        <v>27</v>
      </c>
      <c r="B14" s="35">
        <v>4</v>
      </c>
      <c r="C14" s="35">
        <v>750</v>
      </c>
      <c r="D14" s="35" t="s">
        <v>50</v>
      </c>
      <c r="E14" s="30">
        <v>134.29</v>
      </c>
      <c r="F14" s="31">
        <v>3.95E-2</v>
      </c>
      <c r="G14" s="29">
        <f t="shared" si="0"/>
        <v>-0.11109694553914232</v>
      </c>
    </row>
    <row r="15" spans="1:14" x14ac:dyDescent="0.2">
      <c r="A15" s="35" t="s">
        <v>27</v>
      </c>
      <c r="B15" s="35">
        <v>5</v>
      </c>
      <c r="C15" s="35">
        <v>500</v>
      </c>
      <c r="D15" s="35">
        <v>221</v>
      </c>
      <c r="E15" s="30">
        <v>135.28</v>
      </c>
      <c r="F15" s="31">
        <v>9.6000000000000002E-2</v>
      </c>
      <c r="G15" s="29">
        <f t="shared" si="0"/>
        <v>0.41446056034354029</v>
      </c>
      <c r="N15" s="16"/>
    </row>
    <row r="16" spans="1:14" x14ac:dyDescent="0.2">
      <c r="A16" s="35" t="s">
        <v>27</v>
      </c>
      <c r="B16" s="35">
        <v>6</v>
      </c>
      <c r="C16" s="35">
        <v>500</v>
      </c>
      <c r="D16" s="35">
        <v>223</v>
      </c>
      <c r="E16" s="30">
        <v>127.29</v>
      </c>
      <c r="F16" s="31">
        <v>0.108</v>
      </c>
      <c r="G16" s="29">
        <f t="shared" si="0"/>
        <v>0.55944636304470119</v>
      </c>
      <c r="I16" t="s">
        <v>35</v>
      </c>
    </row>
    <row r="17" spans="1:12" x14ac:dyDescent="0.2">
      <c r="A17" s="35" t="s">
        <v>27</v>
      </c>
      <c r="B17" s="35">
        <v>7</v>
      </c>
      <c r="C17" s="35">
        <v>250</v>
      </c>
      <c r="D17" s="35">
        <v>224</v>
      </c>
      <c r="E17" s="30">
        <v>139.63999999999999</v>
      </c>
      <c r="F17" s="31">
        <v>0.24099999999999999</v>
      </c>
      <c r="G17" s="29">
        <f t="shared" si="0"/>
        <v>1.705331956896714</v>
      </c>
    </row>
    <row r="18" spans="1:12" x14ac:dyDescent="0.2">
      <c r="A18" s="35" t="s">
        <v>27</v>
      </c>
      <c r="B18" s="35">
        <v>8</v>
      </c>
      <c r="C18" s="35">
        <v>250</v>
      </c>
      <c r="D18" s="35">
        <v>225</v>
      </c>
      <c r="E18" s="30">
        <v>142.80000000000001</v>
      </c>
      <c r="F18" s="31">
        <v>0.246</v>
      </c>
      <c r="G18" s="29">
        <f t="shared" si="0"/>
        <v>1.7110152363184075</v>
      </c>
    </row>
    <row r="19" spans="1:12" x14ac:dyDescent="0.2">
      <c r="A19" s="35" t="s">
        <v>27</v>
      </c>
      <c r="B19" s="35">
        <v>9</v>
      </c>
      <c r="C19" s="35">
        <v>200</v>
      </c>
      <c r="D19" s="35">
        <v>220</v>
      </c>
      <c r="E19" s="30">
        <v>132.84</v>
      </c>
      <c r="F19" s="31">
        <v>0.29199999999999998</v>
      </c>
      <c r="G19" s="29">
        <f t="shared" si="0"/>
        <v>2.2764464136060747</v>
      </c>
    </row>
    <row r="20" spans="1:12" x14ac:dyDescent="0.2">
      <c r="A20" s="35" t="s">
        <v>27</v>
      </c>
      <c r="B20" s="35">
        <v>10</v>
      </c>
      <c r="C20" s="35">
        <v>200</v>
      </c>
      <c r="D20" s="35">
        <v>226</v>
      </c>
      <c r="E20" s="30">
        <v>132.34</v>
      </c>
      <c r="F20" s="31">
        <v>0.28649999999999998</v>
      </c>
      <c r="G20" s="29">
        <f t="shared" si="0"/>
        <v>2.2329468202947202</v>
      </c>
    </row>
    <row r="21" spans="1:12" x14ac:dyDescent="0.2">
      <c r="A21" s="35" t="s">
        <v>27</v>
      </c>
      <c r="B21" s="35">
        <v>11</v>
      </c>
      <c r="C21" s="35">
        <v>150</v>
      </c>
      <c r="D21" s="35">
        <v>227</v>
      </c>
      <c r="E21" s="30">
        <v>130.41999999999999</v>
      </c>
      <c r="F21" s="31">
        <v>0.36399999999999999</v>
      </c>
      <c r="G21" s="29">
        <f t="shared" si="0"/>
        <v>3.0133362156667221</v>
      </c>
    </row>
    <row r="22" spans="1:12" x14ac:dyDescent="0.2">
      <c r="A22" s="35" t="s">
        <v>27</v>
      </c>
      <c r="B22" s="35">
        <v>12</v>
      </c>
      <c r="C22" s="35">
        <v>150</v>
      </c>
      <c r="D22" s="35">
        <v>228</v>
      </c>
      <c r="E22" s="30">
        <v>130.07</v>
      </c>
      <c r="F22" s="31">
        <v>0.38</v>
      </c>
      <c r="G22" s="29">
        <f t="shared" si="0"/>
        <v>3.1762131017435657</v>
      </c>
    </row>
    <row r="23" spans="1:12" x14ac:dyDescent="0.2">
      <c r="A23" s="35" t="s">
        <v>27</v>
      </c>
      <c r="B23" s="35">
        <v>13</v>
      </c>
      <c r="C23" s="35">
        <v>100</v>
      </c>
      <c r="D23" s="35">
        <v>229</v>
      </c>
      <c r="E23" s="30">
        <v>130.30000000000001</v>
      </c>
      <c r="F23" s="31">
        <v>0.55449999999999999</v>
      </c>
      <c r="G23" s="29">
        <f t="shared" si="0"/>
        <v>4.8540578479387921</v>
      </c>
    </row>
    <row r="24" spans="1:12" x14ac:dyDescent="0.2">
      <c r="A24" s="35" t="s">
        <v>27</v>
      </c>
      <c r="B24" s="35">
        <v>14</v>
      </c>
      <c r="C24" s="35">
        <v>100</v>
      </c>
      <c r="D24" s="35">
        <v>230</v>
      </c>
      <c r="E24" s="30">
        <v>131.49</v>
      </c>
      <c r="F24" s="31">
        <v>0.5635</v>
      </c>
      <c r="G24" s="29">
        <f t="shared" si="0"/>
        <v>4.8954816618890238</v>
      </c>
    </row>
    <row r="25" spans="1:12" x14ac:dyDescent="0.2">
      <c r="A25" s="35" t="s">
        <v>27</v>
      </c>
      <c r="B25" s="35">
        <v>15</v>
      </c>
      <c r="C25" s="35">
        <v>50</v>
      </c>
      <c r="D25" s="35">
        <v>231</v>
      </c>
      <c r="E25" s="30">
        <v>130.47</v>
      </c>
      <c r="F25" s="31">
        <v>0.70550000000000002</v>
      </c>
      <c r="G25" s="29">
        <f t="shared" si="0"/>
        <v>6.302522570458982</v>
      </c>
      <c r="K25" s="21"/>
      <c r="L25" s="21"/>
    </row>
    <row r="26" spans="1:12" x14ac:dyDescent="0.2">
      <c r="A26" s="35" t="s">
        <v>27</v>
      </c>
      <c r="B26" s="35">
        <v>16</v>
      </c>
      <c r="C26" s="35">
        <v>50</v>
      </c>
      <c r="D26" s="35">
        <v>232</v>
      </c>
      <c r="E26" s="30">
        <v>144.36000000000001</v>
      </c>
      <c r="F26" s="31" t="s">
        <v>31</v>
      </c>
      <c r="G26" s="40"/>
      <c r="K26" s="21"/>
      <c r="L26" s="21"/>
    </row>
    <row r="27" spans="1:12" x14ac:dyDescent="0.2">
      <c r="A27" s="18"/>
      <c r="B27" s="18"/>
      <c r="C27" s="18"/>
      <c r="D27" s="18"/>
      <c r="E27" s="39"/>
      <c r="F27" s="28"/>
      <c r="G27" s="40"/>
      <c r="K27" s="20"/>
      <c r="L27" s="20"/>
    </row>
    <row r="28" spans="1:12" x14ac:dyDescent="0.2">
      <c r="A28" s="18"/>
      <c r="B28" s="18"/>
      <c r="C28" s="18"/>
      <c r="D28" s="18"/>
      <c r="E28" s="39"/>
      <c r="F28" s="28"/>
      <c r="G28" s="40"/>
      <c r="K28" s="19"/>
      <c r="L28" s="20"/>
    </row>
    <row r="29" spans="1:12" x14ac:dyDescent="0.2">
      <c r="A29" s="18"/>
      <c r="B29" s="18"/>
      <c r="C29" s="18"/>
      <c r="D29" s="18"/>
      <c r="E29" s="39"/>
      <c r="F29" s="28"/>
      <c r="G29" s="40"/>
      <c r="K29" s="26"/>
      <c r="L29" s="20"/>
    </row>
    <row r="30" spans="1:12" x14ac:dyDescent="0.2">
      <c r="A30" s="18"/>
      <c r="B30" s="18"/>
      <c r="C30" s="18"/>
      <c r="D30" s="18"/>
      <c r="E30" s="39"/>
      <c r="F30" s="28"/>
      <c r="G30" s="40"/>
      <c r="K30" s="27"/>
      <c r="L30" s="20"/>
    </row>
    <row r="31" spans="1:12" x14ac:dyDescent="0.2">
      <c r="A31" s="18"/>
      <c r="B31" s="18"/>
      <c r="C31" s="18"/>
      <c r="D31" s="18"/>
      <c r="E31" s="18"/>
      <c r="F31" s="18"/>
      <c r="G31" s="18"/>
      <c r="K31" s="21"/>
      <c r="L31" s="21"/>
    </row>
    <row r="32" spans="1:12" x14ac:dyDescent="0.2">
      <c r="A32" s="18"/>
      <c r="B32" s="18"/>
      <c r="C32" s="18"/>
      <c r="D32" s="18"/>
      <c r="E32" s="18"/>
      <c r="F32" s="28"/>
      <c r="G32" s="40"/>
      <c r="K32" s="21"/>
      <c r="L32" s="21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A384-DAEE-C749-A2B6-543C2830892B}">
  <dimension ref="A3:N31"/>
  <sheetViews>
    <sheetView tabSelected="1"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4" t="s">
        <v>51</v>
      </c>
      <c r="C3" s="44"/>
      <c r="E3" s="13" t="s">
        <v>26</v>
      </c>
      <c r="F3" s="32">
        <v>10</v>
      </c>
      <c r="H3" t="s">
        <v>20</v>
      </c>
      <c r="I3" s="34">
        <v>0.4975</v>
      </c>
      <c r="J3" t="s">
        <v>8</v>
      </c>
      <c r="K3" s="34">
        <v>4.9500000000000002E-2</v>
      </c>
    </row>
    <row r="4" spans="1:14" x14ac:dyDescent="0.2">
      <c r="A4" s="15" t="s">
        <v>19</v>
      </c>
      <c r="B4" s="44"/>
      <c r="C4" s="44"/>
      <c r="E4" s="7" t="s">
        <v>10</v>
      </c>
      <c r="F4" s="32">
        <v>0.01</v>
      </c>
      <c r="G4" s="8"/>
      <c r="H4" t="s">
        <v>21</v>
      </c>
      <c r="I4" s="34">
        <v>0.4985</v>
      </c>
      <c r="J4" t="s">
        <v>9</v>
      </c>
      <c r="K4" s="34">
        <v>0.1</v>
      </c>
    </row>
    <row r="5" spans="1:14" x14ac:dyDescent="0.2">
      <c r="A5" s="15" t="s">
        <v>7</v>
      </c>
      <c r="B5" s="45">
        <v>42193</v>
      </c>
      <c r="C5" s="44"/>
      <c r="E5" s="7" t="s">
        <v>25</v>
      </c>
      <c r="F5" s="33">
        <f>AVERAGE(I3:I6)</f>
        <v>0.49875000000000003</v>
      </c>
      <c r="G5" s="8"/>
      <c r="H5" t="s">
        <v>22</v>
      </c>
      <c r="I5" s="34">
        <v>0.5</v>
      </c>
      <c r="K5" s="17"/>
    </row>
    <row r="6" spans="1:14" x14ac:dyDescent="0.2">
      <c r="A6" s="14" t="s">
        <v>0</v>
      </c>
      <c r="B6" s="44"/>
      <c r="C6" s="44"/>
      <c r="E6" s="24" t="s">
        <v>24</v>
      </c>
      <c r="F6" s="33">
        <f>K4-K3</f>
        <v>5.0500000000000003E-2</v>
      </c>
      <c r="G6" s="25"/>
      <c r="H6" t="s">
        <v>23</v>
      </c>
      <c r="I6" s="34">
        <v>0.499</v>
      </c>
    </row>
    <row r="7" spans="1:14" x14ac:dyDescent="0.2">
      <c r="A7" s="12"/>
      <c r="B7" s="12"/>
      <c r="C7" s="12"/>
      <c r="D7" s="12"/>
      <c r="E7" s="12"/>
      <c r="F7" s="14"/>
      <c r="G7" s="14"/>
      <c r="H7" s="22"/>
      <c r="I7" s="23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6" t="s">
        <v>13</v>
      </c>
      <c r="H9" s="47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35" t="s">
        <v>32</v>
      </c>
      <c r="B11" s="35">
        <v>1</v>
      </c>
      <c r="C11" s="35">
        <v>220</v>
      </c>
      <c r="D11" s="35" t="s">
        <v>28</v>
      </c>
      <c r="E11" s="30">
        <v>149.02000000000001</v>
      </c>
      <c r="F11" s="31">
        <v>0.57499999999999996</v>
      </c>
      <c r="G11" s="29">
        <f>(((((F11-$F$6)*$F$3*$F$4*5598)/($F$5-$F$6))-1000*0.0017)/(E11-2))</f>
        <v>4.4437853400325</v>
      </c>
      <c r="N11" s="16"/>
    </row>
    <row r="12" spans="1:14" x14ac:dyDescent="0.2">
      <c r="A12" s="35" t="s">
        <v>32</v>
      </c>
      <c r="B12" s="35">
        <v>3</v>
      </c>
      <c r="C12" s="35">
        <v>200</v>
      </c>
      <c r="D12" s="35">
        <v>218</v>
      </c>
      <c r="E12" s="30">
        <v>133.30000000000001</v>
      </c>
      <c r="F12" s="31">
        <v>0.52700000000000002</v>
      </c>
      <c r="G12" s="29">
        <f t="shared" ref="G12:G21" si="0">(((((F12-$F$6)*$F$3*$F$4*5598)/($F$5-$F$6))-1000*0.0017)/(E12-2))</f>
        <v>4.5192703791379598</v>
      </c>
    </row>
    <row r="13" spans="1:14" x14ac:dyDescent="0.2">
      <c r="A13" s="35" t="s">
        <v>32</v>
      </c>
      <c r="B13" s="35">
        <v>6</v>
      </c>
      <c r="C13" s="35">
        <v>180</v>
      </c>
      <c r="D13" s="35" t="s">
        <v>30</v>
      </c>
      <c r="E13" s="30">
        <v>140.4</v>
      </c>
      <c r="F13" s="31">
        <v>0.57199999999999995</v>
      </c>
      <c r="G13" s="29">
        <f t="shared" si="0"/>
        <v>4.6934880830719328</v>
      </c>
    </row>
    <row r="14" spans="1:14" x14ac:dyDescent="0.2">
      <c r="A14" s="35" t="s">
        <v>32</v>
      </c>
      <c r="B14" s="35">
        <v>10</v>
      </c>
      <c r="C14" s="35">
        <v>140</v>
      </c>
      <c r="D14" s="35">
        <v>221</v>
      </c>
      <c r="E14" s="30">
        <v>135.28</v>
      </c>
      <c r="F14" s="31">
        <v>0.60799999999999998</v>
      </c>
      <c r="G14" s="29">
        <f t="shared" si="0"/>
        <v>5.211116376277225</v>
      </c>
      <c r="N14" s="16"/>
    </row>
    <row r="15" spans="1:14" x14ac:dyDescent="0.2">
      <c r="A15" s="35" t="s">
        <v>32</v>
      </c>
      <c r="B15" s="35">
        <v>12</v>
      </c>
      <c r="C15" s="35">
        <v>120</v>
      </c>
      <c r="D15" s="35">
        <v>222</v>
      </c>
      <c r="E15" s="30">
        <v>134.29</v>
      </c>
      <c r="F15" s="31">
        <v>0.62050000000000005</v>
      </c>
      <c r="G15" s="29">
        <f t="shared" si="0"/>
        <v>5.368117763552223</v>
      </c>
    </row>
    <row r="16" spans="1:14" x14ac:dyDescent="0.2">
      <c r="A16" s="35" t="s">
        <v>32</v>
      </c>
      <c r="B16" s="35">
        <v>14</v>
      </c>
      <c r="C16" s="35">
        <v>100</v>
      </c>
      <c r="D16" s="35">
        <v>223</v>
      </c>
      <c r="E16" s="30">
        <v>127.29</v>
      </c>
      <c r="F16" s="31">
        <v>0.62350000000000005</v>
      </c>
      <c r="G16" s="29">
        <f t="shared" si="0"/>
        <v>5.6979397313013491</v>
      </c>
    </row>
    <row r="17" spans="1:12" x14ac:dyDescent="0.2">
      <c r="A17" s="35" t="s">
        <v>32</v>
      </c>
      <c r="B17" s="35">
        <v>16</v>
      </c>
      <c r="C17" s="35">
        <v>80</v>
      </c>
      <c r="D17" s="35" t="s">
        <v>33</v>
      </c>
      <c r="E17" s="30">
        <v>139.63999999999999</v>
      </c>
      <c r="F17" s="31">
        <v>0.79300000000000004</v>
      </c>
      <c r="G17" s="29">
        <f t="shared" si="0"/>
        <v>6.7246154723890728</v>
      </c>
    </row>
    <row r="18" spans="1:12" x14ac:dyDescent="0.2">
      <c r="A18" s="35" t="s">
        <v>32</v>
      </c>
      <c r="B18" s="35">
        <v>18</v>
      </c>
      <c r="C18" s="35">
        <v>60</v>
      </c>
      <c r="D18" s="35" t="s">
        <v>34</v>
      </c>
      <c r="E18" s="30">
        <v>142.80000000000001</v>
      </c>
      <c r="F18" s="31">
        <v>0.83599999999999997</v>
      </c>
      <c r="G18" s="29">
        <f t="shared" si="0"/>
        <v>6.9550916918065191</v>
      </c>
    </row>
    <row r="19" spans="1:12" x14ac:dyDescent="0.2">
      <c r="A19" s="35" t="s">
        <v>32</v>
      </c>
      <c r="B19" s="35">
        <v>20</v>
      </c>
      <c r="C19" s="35">
        <v>40</v>
      </c>
      <c r="D19" s="35">
        <v>226</v>
      </c>
      <c r="E19" s="30">
        <v>132.34</v>
      </c>
      <c r="F19" s="31">
        <v>0.754</v>
      </c>
      <c r="G19" s="29">
        <f t="shared" si="0"/>
        <v>6.7275637846565601</v>
      </c>
    </row>
    <row r="20" spans="1:12" x14ac:dyDescent="0.2">
      <c r="A20" s="35" t="s">
        <v>32</v>
      </c>
      <c r="B20" s="35">
        <v>22</v>
      </c>
      <c r="C20" s="35">
        <v>20</v>
      </c>
      <c r="D20" s="35">
        <v>227</v>
      </c>
      <c r="E20" s="30">
        <v>130.41999999999999</v>
      </c>
      <c r="F20" s="31">
        <v>0.66249999999999998</v>
      </c>
      <c r="G20" s="29">
        <f t="shared" si="0"/>
        <v>5.9383295348251206</v>
      </c>
    </row>
    <row r="21" spans="1:12" x14ac:dyDescent="0.2">
      <c r="A21" s="35" t="s">
        <v>32</v>
      </c>
      <c r="B21" s="35">
        <v>24</v>
      </c>
      <c r="C21" s="35">
        <v>10</v>
      </c>
      <c r="D21" s="35">
        <v>228</v>
      </c>
      <c r="E21" s="30">
        <v>130.07</v>
      </c>
      <c r="F21" s="31">
        <v>0.65749999999999997</v>
      </c>
      <c r="G21" s="29">
        <f t="shared" si="0"/>
        <v>5.9058014799578675</v>
      </c>
    </row>
    <row r="22" spans="1:12" x14ac:dyDescent="0.2">
      <c r="A22" s="18"/>
      <c r="B22" s="18"/>
      <c r="C22" s="18"/>
      <c r="D22" s="18"/>
      <c r="E22" s="39"/>
      <c r="F22" s="28"/>
      <c r="G22" s="40"/>
    </row>
    <row r="23" spans="1:12" x14ac:dyDescent="0.2">
      <c r="A23" s="18"/>
      <c r="B23" s="18"/>
      <c r="C23" s="18"/>
      <c r="D23" s="18"/>
      <c r="E23" s="39"/>
      <c r="F23" s="28"/>
      <c r="G23" s="40"/>
    </row>
    <row r="24" spans="1:12" x14ac:dyDescent="0.2">
      <c r="A24" s="18"/>
      <c r="B24" s="18"/>
      <c r="C24" s="18"/>
      <c r="D24" s="18"/>
      <c r="E24" s="39"/>
      <c r="F24" s="28"/>
      <c r="G24" s="40"/>
      <c r="K24" s="21"/>
      <c r="L24" s="21"/>
    </row>
    <row r="25" spans="1:12" x14ac:dyDescent="0.2">
      <c r="A25" s="18"/>
      <c r="B25" s="18"/>
      <c r="C25" s="18"/>
      <c r="D25" s="18"/>
      <c r="E25" s="39"/>
      <c r="F25" s="28"/>
      <c r="G25" s="40"/>
      <c r="K25" s="21"/>
      <c r="L25" s="21"/>
    </row>
    <row r="26" spans="1:12" x14ac:dyDescent="0.2">
      <c r="A26" s="18"/>
      <c r="B26" s="18"/>
      <c r="C26" s="18"/>
      <c r="D26" s="18"/>
      <c r="E26" s="39"/>
      <c r="F26" s="28"/>
      <c r="G26" s="40"/>
      <c r="K26" s="20"/>
      <c r="L26" s="20"/>
    </row>
    <row r="27" spans="1:12" x14ac:dyDescent="0.2">
      <c r="A27" s="18"/>
      <c r="B27" s="18"/>
      <c r="C27" s="18"/>
      <c r="D27" s="18"/>
      <c r="E27" s="39"/>
      <c r="F27" s="28"/>
      <c r="G27" s="40"/>
      <c r="K27" s="19"/>
      <c r="L27" s="20"/>
    </row>
    <row r="28" spans="1:12" x14ac:dyDescent="0.2">
      <c r="A28" s="18"/>
      <c r="B28" s="18"/>
      <c r="C28" s="18"/>
      <c r="D28" s="18"/>
      <c r="E28" s="39"/>
      <c r="F28" s="28"/>
      <c r="G28" s="40"/>
      <c r="K28" s="26"/>
      <c r="L28" s="20"/>
    </row>
    <row r="29" spans="1:12" x14ac:dyDescent="0.2">
      <c r="A29" s="18"/>
      <c r="B29" s="18"/>
      <c r="C29" s="18"/>
      <c r="D29" s="18"/>
      <c r="E29" s="39"/>
      <c r="F29" s="28"/>
      <c r="G29" s="40"/>
      <c r="K29" s="27"/>
      <c r="L29" s="20"/>
    </row>
    <row r="30" spans="1:12" x14ac:dyDescent="0.2">
      <c r="A30" s="18"/>
      <c r="B30" s="18"/>
      <c r="C30" s="18"/>
      <c r="D30" s="18"/>
      <c r="E30" s="18"/>
      <c r="F30" s="18"/>
      <c r="G30" s="18"/>
      <c r="K30" s="21"/>
      <c r="L30" s="21"/>
    </row>
    <row r="31" spans="1:12" x14ac:dyDescent="0.2">
      <c r="A31" s="18"/>
      <c r="B31" s="18"/>
      <c r="C31" s="18"/>
      <c r="D31" s="18"/>
      <c r="E31" s="18"/>
      <c r="F31" s="28"/>
      <c r="G31" s="40"/>
      <c r="K31" s="21"/>
      <c r="L31" s="21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36A4-5DAE-9445-8B3F-69B0D70F700C}">
  <dimension ref="A3:N32"/>
  <sheetViews>
    <sheetView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4" t="s">
        <v>51</v>
      </c>
      <c r="C3" s="44"/>
      <c r="E3" s="13" t="s">
        <v>26</v>
      </c>
      <c r="F3" s="32">
        <v>10</v>
      </c>
      <c r="H3" t="s">
        <v>20</v>
      </c>
      <c r="I3" s="34">
        <v>0.4995</v>
      </c>
      <c r="J3" t="s">
        <v>8</v>
      </c>
      <c r="K3" s="34">
        <v>5.0500000000000003E-2</v>
      </c>
    </row>
    <row r="4" spans="1:14" x14ac:dyDescent="0.2">
      <c r="A4" s="15" t="s">
        <v>19</v>
      </c>
      <c r="B4" s="44"/>
      <c r="C4" s="44"/>
      <c r="E4" s="7" t="s">
        <v>10</v>
      </c>
      <c r="F4" s="32">
        <v>0.01</v>
      </c>
      <c r="G4" s="8"/>
      <c r="H4" t="s">
        <v>21</v>
      </c>
      <c r="I4" s="34">
        <v>0.4985</v>
      </c>
      <c r="J4" t="s">
        <v>9</v>
      </c>
      <c r="K4" s="34">
        <v>0.10050000000000001</v>
      </c>
    </row>
    <row r="5" spans="1:14" x14ac:dyDescent="0.2">
      <c r="A5" s="15" t="s">
        <v>7</v>
      </c>
      <c r="B5" s="45">
        <v>42199</v>
      </c>
      <c r="C5" s="44"/>
      <c r="E5" s="7" t="s">
        <v>25</v>
      </c>
      <c r="F5" s="33">
        <f>AVERAGE(I3:I6)</f>
        <v>0.49899999999999994</v>
      </c>
      <c r="G5" s="8"/>
      <c r="H5" t="s">
        <v>22</v>
      </c>
      <c r="I5" s="34">
        <v>0.499</v>
      </c>
      <c r="K5" s="17"/>
    </row>
    <row r="6" spans="1:14" x14ac:dyDescent="0.2">
      <c r="A6" s="14" t="s">
        <v>0</v>
      </c>
      <c r="B6" s="44"/>
      <c r="C6" s="44"/>
      <c r="E6" s="24" t="s">
        <v>24</v>
      </c>
      <c r="F6" s="33">
        <f>K4-K3</f>
        <v>0.05</v>
      </c>
      <c r="G6" s="25"/>
      <c r="H6" t="s">
        <v>23</v>
      </c>
      <c r="I6" s="34"/>
    </row>
    <row r="7" spans="1:14" x14ac:dyDescent="0.2">
      <c r="A7" s="12"/>
      <c r="B7" s="12"/>
      <c r="C7" s="12"/>
      <c r="D7" s="12"/>
      <c r="E7" s="12"/>
      <c r="F7" s="14"/>
      <c r="G7" s="14"/>
      <c r="H7" s="22"/>
      <c r="I7" s="23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6" t="s">
        <v>13</v>
      </c>
      <c r="H9" s="47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38" t="s">
        <v>36</v>
      </c>
      <c r="B11" s="38">
        <v>1</v>
      </c>
      <c r="C11" s="38">
        <v>220</v>
      </c>
      <c r="D11" s="38">
        <v>73</v>
      </c>
      <c r="E11" s="30">
        <v>128.36000000000001</v>
      </c>
      <c r="F11" s="31">
        <v>0.47249999999999998</v>
      </c>
      <c r="G11" s="29">
        <f>(((((F11-$F$6)*$F$3*$F$4*5598)/($F$5-$F$6))-1000*0.0017)/(E11-2))</f>
        <v>4.1552752379280458</v>
      </c>
      <c r="N11" s="16"/>
    </row>
    <row r="12" spans="1:14" x14ac:dyDescent="0.2">
      <c r="A12" s="38" t="s">
        <v>36</v>
      </c>
      <c r="B12" s="38">
        <v>3</v>
      </c>
      <c r="C12" s="38">
        <v>200</v>
      </c>
      <c r="D12" s="38">
        <v>74</v>
      </c>
      <c r="E12" s="30">
        <v>140.58000000000001</v>
      </c>
      <c r="F12" s="31">
        <v>0.53700000000000003</v>
      </c>
      <c r="G12" s="29">
        <f t="shared" ref="G12:G22" si="0">(((((F12-$F$6)*$F$3*$F$4*5598)/($F$5-$F$6))-1000*0.0017)/(E12-2))</f>
        <v>4.3691534337622997</v>
      </c>
      <c r="H12" s="17"/>
      <c r="I12" s="17"/>
    </row>
    <row r="13" spans="1:14" x14ac:dyDescent="0.2">
      <c r="A13" s="38" t="s">
        <v>36</v>
      </c>
      <c r="B13" s="38">
        <v>6</v>
      </c>
      <c r="C13" s="38">
        <v>180</v>
      </c>
      <c r="D13" s="38">
        <v>75</v>
      </c>
      <c r="E13" s="30">
        <v>132.54</v>
      </c>
      <c r="F13" s="31">
        <v>0.51900000000000002</v>
      </c>
      <c r="G13" s="29">
        <f t="shared" si="0"/>
        <v>4.4663353150507588</v>
      </c>
      <c r="H13" s="17"/>
      <c r="I13" s="17"/>
    </row>
    <row r="14" spans="1:14" x14ac:dyDescent="0.2">
      <c r="A14" s="38" t="s">
        <v>36</v>
      </c>
      <c r="B14" s="38">
        <v>8</v>
      </c>
      <c r="C14" s="38">
        <v>160</v>
      </c>
      <c r="D14" s="38">
        <v>76</v>
      </c>
      <c r="E14" s="30">
        <v>143.72999999999999</v>
      </c>
      <c r="F14" s="31">
        <v>0.59750000000000003</v>
      </c>
      <c r="G14" s="29">
        <f t="shared" si="0"/>
        <v>4.804253892835856</v>
      </c>
      <c r="H14" s="17"/>
      <c r="I14" s="17"/>
    </row>
    <row r="15" spans="1:14" x14ac:dyDescent="0.2">
      <c r="A15" s="38" t="s">
        <v>36</v>
      </c>
      <c r="B15" s="38">
        <v>10</v>
      </c>
      <c r="C15" s="38">
        <v>140</v>
      </c>
      <c r="D15" s="38">
        <v>81</v>
      </c>
      <c r="E15" s="30">
        <v>131.88999999999999</v>
      </c>
      <c r="F15" s="31">
        <v>0.60199999999999998</v>
      </c>
      <c r="G15" s="29">
        <f t="shared" si="0"/>
        <v>5.2853751015292882</v>
      </c>
      <c r="H15" s="17"/>
      <c r="I15" s="17"/>
      <c r="N15" s="16"/>
    </row>
    <row r="16" spans="1:14" x14ac:dyDescent="0.2">
      <c r="A16" s="38" t="s">
        <v>36</v>
      </c>
      <c r="B16" s="38">
        <v>11</v>
      </c>
      <c r="C16" s="38">
        <v>120</v>
      </c>
      <c r="D16" s="38">
        <v>77</v>
      </c>
      <c r="E16" s="30">
        <v>134</v>
      </c>
      <c r="F16" s="31">
        <v>0.61099999999999999</v>
      </c>
      <c r="G16" s="29">
        <f t="shared" si="0"/>
        <v>5.2858962678004993</v>
      </c>
      <c r="H16" s="17"/>
      <c r="I16" s="17"/>
    </row>
    <row r="17" spans="1:12" x14ac:dyDescent="0.2">
      <c r="A17" s="38" t="s">
        <v>36</v>
      </c>
      <c r="B17" s="38">
        <v>13</v>
      </c>
      <c r="C17" s="38">
        <v>100</v>
      </c>
      <c r="D17" s="38">
        <v>78</v>
      </c>
      <c r="E17" s="30">
        <v>143.05000000000001</v>
      </c>
      <c r="F17" s="31">
        <v>0.69899999999999995</v>
      </c>
      <c r="G17" s="29">
        <f t="shared" si="0"/>
        <v>5.724594968218792</v>
      </c>
      <c r="H17" s="17"/>
      <c r="I17" s="17"/>
    </row>
    <row r="18" spans="1:12" x14ac:dyDescent="0.2">
      <c r="A18" s="38" t="s">
        <v>36</v>
      </c>
      <c r="B18" s="38">
        <v>15</v>
      </c>
      <c r="C18" s="38">
        <v>80</v>
      </c>
      <c r="D18" s="38">
        <v>84</v>
      </c>
      <c r="E18" s="30">
        <v>131.66</v>
      </c>
      <c r="F18" s="31">
        <v>0.72199999999999998</v>
      </c>
      <c r="G18" s="29">
        <f t="shared" si="0"/>
        <v>6.4486336888631461</v>
      </c>
      <c r="H18" s="17"/>
      <c r="I18" s="17"/>
    </row>
    <row r="19" spans="1:12" x14ac:dyDescent="0.2">
      <c r="A19" s="38" t="s">
        <v>36</v>
      </c>
      <c r="B19" s="38">
        <v>18</v>
      </c>
      <c r="C19" s="38">
        <v>60</v>
      </c>
      <c r="D19" s="38">
        <v>83</v>
      </c>
      <c r="E19" s="30">
        <v>139.85</v>
      </c>
      <c r="F19" s="31">
        <v>0.80449999999999999</v>
      </c>
      <c r="G19" s="29">
        <f t="shared" si="0"/>
        <v>6.8116678905204253</v>
      </c>
      <c r="H19" s="17"/>
      <c r="I19" s="17"/>
    </row>
    <row r="20" spans="1:12" x14ac:dyDescent="0.2">
      <c r="A20" s="38" t="s">
        <v>36</v>
      </c>
      <c r="B20" s="38">
        <v>19</v>
      </c>
      <c r="C20" s="38">
        <v>40</v>
      </c>
      <c r="D20" s="38">
        <v>80</v>
      </c>
      <c r="E20" s="30">
        <v>130.57</v>
      </c>
      <c r="F20" s="31">
        <v>0.72299999999999998</v>
      </c>
      <c r="G20" s="29">
        <f t="shared" si="0"/>
        <v>6.5130015921236062</v>
      </c>
      <c r="H20" s="17"/>
      <c r="I20" s="17"/>
    </row>
    <row r="21" spans="1:12" x14ac:dyDescent="0.2">
      <c r="A21" s="38" t="s">
        <v>36</v>
      </c>
      <c r="B21" s="38">
        <v>21</v>
      </c>
      <c r="C21" s="38">
        <v>20</v>
      </c>
      <c r="D21" s="38">
        <v>82</v>
      </c>
      <c r="E21" s="30">
        <v>137.07</v>
      </c>
      <c r="F21" s="31">
        <v>0.6855</v>
      </c>
      <c r="G21" s="29">
        <f t="shared" si="0"/>
        <v>5.8534294599039054</v>
      </c>
      <c r="H21" s="17"/>
      <c r="I21" s="17"/>
    </row>
    <row r="22" spans="1:12" x14ac:dyDescent="0.2">
      <c r="A22" s="38" t="s">
        <v>36</v>
      </c>
      <c r="B22" s="38">
        <v>24</v>
      </c>
      <c r="C22" s="38">
        <v>10</v>
      </c>
      <c r="D22" s="38">
        <v>79</v>
      </c>
      <c r="E22" s="30">
        <v>140.31</v>
      </c>
      <c r="F22" s="31">
        <v>0.70099999999999996</v>
      </c>
      <c r="G22" s="29">
        <f t="shared" si="0"/>
        <v>5.85603110020919</v>
      </c>
      <c r="H22" s="17"/>
      <c r="I22" s="17"/>
    </row>
    <row r="23" spans="1:12" x14ac:dyDescent="0.2">
      <c r="A23" s="18"/>
      <c r="B23" s="18"/>
      <c r="C23" s="18"/>
      <c r="D23" s="18"/>
      <c r="E23" s="39"/>
      <c r="F23" s="28"/>
      <c r="G23" s="40"/>
      <c r="H23" s="17"/>
      <c r="I23" s="17"/>
    </row>
    <row r="24" spans="1:12" x14ac:dyDescent="0.2">
      <c r="A24" s="18"/>
      <c r="B24" s="18"/>
      <c r="C24" s="18"/>
      <c r="D24" s="18"/>
      <c r="E24" s="39"/>
      <c r="F24" s="28"/>
      <c r="G24" s="40"/>
    </row>
    <row r="25" spans="1:12" x14ac:dyDescent="0.2">
      <c r="A25" s="18"/>
      <c r="B25" s="18"/>
      <c r="C25" s="18"/>
      <c r="D25" s="18"/>
      <c r="E25" s="39"/>
      <c r="F25" s="28"/>
      <c r="G25" s="40"/>
      <c r="K25" s="21"/>
      <c r="L25" s="21"/>
    </row>
    <row r="26" spans="1:12" x14ac:dyDescent="0.2">
      <c r="A26" s="18"/>
      <c r="B26" s="18"/>
      <c r="C26" s="18"/>
      <c r="D26" s="18"/>
      <c r="E26" s="39"/>
      <c r="F26" s="28"/>
      <c r="G26" s="40"/>
      <c r="K26" s="21"/>
      <c r="L26" s="21"/>
    </row>
    <row r="27" spans="1:12" x14ac:dyDescent="0.2">
      <c r="A27" s="18"/>
      <c r="B27" s="18"/>
      <c r="C27" s="18"/>
      <c r="D27" s="18"/>
      <c r="E27" s="39"/>
      <c r="F27" s="28"/>
      <c r="G27" s="40"/>
      <c r="K27" s="20"/>
      <c r="L27" s="20"/>
    </row>
    <row r="28" spans="1:12" x14ac:dyDescent="0.2">
      <c r="A28" s="18"/>
      <c r="B28" s="18"/>
      <c r="C28" s="18"/>
      <c r="D28" s="18"/>
      <c r="E28" s="39"/>
      <c r="F28" s="28"/>
      <c r="G28" s="40"/>
      <c r="K28" s="19"/>
      <c r="L28" s="20"/>
    </row>
    <row r="29" spans="1:12" x14ac:dyDescent="0.2">
      <c r="A29" s="18"/>
      <c r="B29" s="18"/>
      <c r="C29" s="18"/>
      <c r="D29" s="18"/>
      <c r="E29" s="39"/>
      <c r="F29" s="28"/>
      <c r="G29" s="40"/>
      <c r="K29" s="26"/>
      <c r="L29" s="20"/>
    </row>
    <row r="30" spans="1:12" x14ac:dyDescent="0.2">
      <c r="A30" s="18"/>
      <c r="B30" s="18"/>
      <c r="C30" s="18"/>
      <c r="D30" s="18"/>
      <c r="E30" s="39"/>
      <c r="F30" s="28"/>
      <c r="G30" s="40"/>
      <c r="K30" s="27"/>
      <c r="L30" s="20"/>
    </row>
    <row r="31" spans="1:12" x14ac:dyDescent="0.2">
      <c r="A31" s="18"/>
      <c r="B31" s="18"/>
      <c r="C31" s="18"/>
      <c r="D31" s="18"/>
      <c r="E31" s="18"/>
      <c r="F31" s="18"/>
      <c r="G31" s="18"/>
      <c r="K31" s="21"/>
      <c r="L31" s="21"/>
    </row>
    <row r="32" spans="1:12" x14ac:dyDescent="0.2">
      <c r="A32" s="18"/>
      <c r="B32" s="18"/>
      <c r="C32" s="18"/>
      <c r="D32" s="18"/>
      <c r="E32" s="18"/>
      <c r="F32" s="28"/>
      <c r="G32" s="40"/>
      <c r="K32" s="21"/>
      <c r="L32" s="21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770E-0676-C345-9AB1-FE72E7822503}">
  <dimension ref="A3:N44"/>
  <sheetViews>
    <sheetView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4" x14ac:dyDescent="0.2">
      <c r="A3" s="12" t="s">
        <v>18</v>
      </c>
      <c r="B3" s="44" t="s">
        <v>51</v>
      </c>
      <c r="C3" s="44"/>
      <c r="E3" s="13" t="s">
        <v>26</v>
      </c>
      <c r="F3" s="32">
        <v>10</v>
      </c>
      <c r="H3" t="s">
        <v>20</v>
      </c>
      <c r="I3" s="34">
        <v>0.50049999999999994</v>
      </c>
      <c r="J3" t="s">
        <v>8</v>
      </c>
      <c r="K3" s="34">
        <v>0.05</v>
      </c>
    </row>
    <row r="4" spans="1:14" x14ac:dyDescent="0.2">
      <c r="A4" s="15" t="s">
        <v>19</v>
      </c>
      <c r="B4" s="36"/>
      <c r="C4" s="36"/>
      <c r="E4" s="7" t="s">
        <v>10</v>
      </c>
      <c r="F4" s="32">
        <v>0.01</v>
      </c>
      <c r="G4" s="8"/>
      <c r="H4" t="s">
        <v>21</v>
      </c>
      <c r="I4" s="34">
        <v>0.50049999999999994</v>
      </c>
      <c r="J4" t="s">
        <v>9</v>
      </c>
      <c r="K4" s="34">
        <v>0.1</v>
      </c>
    </row>
    <row r="5" spans="1:14" x14ac:dyDescent="0.2">
      <c r="A5" s="15" t="s">
        <v>7</v>
      </c>
      <c r="B5" s="48">
        <v>42201</v>
      </c>
      <c r="C5" s="49"/>
      <c r="E5" s="7" t="s">
        <v>25</v>
      </c>
      <c r="F5" s="33">
        <f>AVERAGE(I3:I6)</f>
        <v>0.50016666666666665</v>
      </c>
      <c r="G5" s="8"/>
      <c r="H5" t="s">
        <v>22</v>
      </c>
      <c r="I5" s="34">
        <v>0.4995</v>
      </c>
      <c r="K5" s="17"/>
    </row>
    <row r="6" spans="1:14" x14ac:dyDescent="0.2">
      <c r="A6" s="14" t="s">
        <v>0</v>
      </c>
      <c r="B6" s="36"/>
      <c r="C6" s="36"/>
      <c r="E6" s="24" t="s">
        <v>24</v>
      </c>
      <c r="F6" s="33">
        <f>K4-K3</f>
        <v>0.05</v>
      </c>
      <c r="G6" s="25"/>
      <c r="H6" t="s">
        <v>23</v>
      </c>
      <c r="I6" s="34"/>
    </row>
    <row r="7" spans="1:14" x14ac:dyDescent="0.2">
      <c r="A7" s="12"/>
      <c r="B7" s="12"/>
      <c r="C7" s="12"/>
      <c r="D7" s="12"/>
      <c r="E7" s="12"/>
      <c r="F7" s="14"/>
      <c r="G7" s="14"/>
      <c r="H7" s="22"/>
      <c r="I7" s="23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37" t="s">
        <v>13</v>
      </c>
      <c r="H9" s="38"/>
      <c r="I9" s="5" t="s">
        <v>4</v>
      </c>
      <c r="J9" s="5"/>
    </row>
    <row r="10" spans="1:14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4" ht="16" thickTop="1" x14ac:dyDescent="0.2">
      <c r="A11" s="38" t="s">
        <v>37</v>
      </c>
      <c r="B11" s="38" t="s">
        <v>38</v>
      </c>
      <c r="C11" s="38">
        <v>30</v>
      </c>
      <c r="D11" s="38">
        <v>73</v>
      </c>
      <c r="E11" s="30">
        <v>128.36000000000001</v>
      </c>
      <c r="F11" s="31">
        <v>0.72050000000000003</v>
      </c>
      <c r="G11" s="29">
        <f>(((((F11-$F$6)*$F$3*$F$4*5598)/($F$5-$F$6))-1000*0.0017)/(E11-2))</f>
        <v>6.5850996178241212</v>
      </c>
      <c r="N11" s="16"/>
    </row>
    <row r="12" spans="1:14" x14ac:dyDescent="0.2">
      <c r="A12" s="18"/>
      <c r="B12" s="18"/>
      <c r="C12" s="18"/>
      <c r="D12" s="18"/>
      <c r="E12" s="39"/>
      <c r="F12" s="28"/>
      <c r="G12" s="40"/>
      <c r="H12" s="17"/>
      <c r="I12" s="17"/>
    </row>
    <row r="13" spans="1:14" x14ac:dyDescent="0.2">
      <c r="A13" s="18" t="s">
        <v>39</v>
      </c>
      <c r="B13" s="38">
        <v>7</v>
      </c>
      <c r="C13" s="38">
        <v>2900</v>
      </c>
      <c r="D13" s="38">
        <v>74</v>
      </c>
      <c r="E13" s="30">
        <v>140.58000000000001</v>
      </c>
      <c r="F13" s="31">
        <v>0.2455</v>
      </c>
      <c r="G13" s="29">
        <f>(((((F13-$F$6)*$F$3*$F$4*5598)/($F$5-$F$6))-1000*0.0017)/(E13-2))</f>
        <v>1.7420403992919351</v>
      </c>
      <c r="H13" s="17"/>
      <c r="I13" s="17"/>
    </row>
    <row r="14" spans="1:14" x14ac:dyDescent="0.2">
      <c r="A14" s="18" t="s">
        <v>39</v>
      </c>
      <c r="B14" s="38">
        <v>8</v>
      </c>
      <c r="C14" s="38">
        <v>2500</v>
      </c>
      <c r="D14" s="38">
        <v>75</v>
      </c>
      <c r="E14" s="30">
        <v>132.54</v>
      </c>
      <c r="F14" s="31">
        <v>0.22850000000000001</v>
      </c>
      <c r="G14" s="29">
        <f t="shared" ref="G14:G18" si="0">(((((F14-$F$6)*$F$3*$F$4*5598)/($F$5-$F$6))-1000*0.0017)/(E14-2))</f>
        <v>1.687389215769747</v>
      </c>
      <c r="H14" s="17"/>
      <c r="I14" s="17"/>
    </row>
    <row r="15" spans="1:14" x14ac:dyDescent="0.2">
      <c r="A15" s="18" t="s">
        <v>39</v>
      </c>
      <c r="B15" s="38">
        <v>19</v>
      </c>
      <c r="C15" s="38">
        <v>30</v>
      </c>
      <c r="D15" s="38">
        <v>76</v>
      </c>
      <c r="E15" s="30">
        <v>143.72999999999999</v>
      </c>
      <c r="F15" s="31">
        <v>0.81299999999999994</v>
      </c>
      <c r="G15" s="29">
        <f t="shared" si="0"/>
        <v>6.6825695686765698</v>
      </c>
      <c r="H15" s="17"/>
      <c r="I15" s="17"/>
      <c r="N15" s="16"/>
    </row>
    <row r="16" spans="1:14" x14ac:dyDescent="0.2">
      <c r="A16" s="18" t="s">
        <v>39</v>
      </c>
      <c r="B16" s="38">
        <v>20</v>
      </c>
      <c r="C16" s="38">
        <v>30</v>
      </c>
      <c r="D16" s="38">
        <v>77</v>
      </c>
      <c r="E16" s="30">
        <v>134</v>
      </c>
      <c r="F16" s="31">
        <v>0.76</v>
      </c>
      <c r="G16" s="29">
        <f t="shared" si="0"/>
        <v>6.6758560241436946</v>
      </c>
      <c r="H16" s="17"/>
      <c r="I16" s="17"/>
    </row>
    <row r="17" spans="1:12" x14ac:dyDescent="0.2">
      <c r="A17" s="18" t="s">
        <v>39</v>
      </c>
      <c r="B17" s="38">
        <v>21</v>
      </c>
      <c r="C17" s="38">
        <v>10</v>
      </c>
      <c r="D17" s="38">
        <v>78</v>
      </c>
      <c r="E17" s="30">
        <v>143.05000000000001</v>
      </c>
      <c r="F17" s="31">
        <v>0.72250000000000003</v>
      </c>
      <c r="G17" s="29">
        <f t="shared" si="0"/>
        <v>5.9169107874366373</v>
      </c>
      <c r="H17" s="17"/>
      <c r="I17" s="17"/>
    </row>
    <row r="18" spans="1:12" x14ac:dyDescent="0.2">
      <c r="A18" s="18" t="s">
        <v>39</v>
      </c>
      <c r="B18" s="38">
        <v>22</v>
      </c>
      <c r="C18" s="38">
        <v>10</v>
      </c>
      <c r="D18" s="38">
        <v>79</v>
      </c>
      <c r="E18" s="30">
        <v>140.31</v>
      </c>
      <c r="F18" s="31">
        <v>0.71450000000000002</v>
      </c>
      <c r="G18" s="29">
        <f t="shared" si="0"/>
        <v>5.9622004998135454</v>
      </c>
      <c r="H18" s="17"/>
      <c r="I18" s="17"/>
    </row>
    <row r="19" spans="1:12" x14ac:dyDescent="0.2">
      <c r="A19" s="18"/>
      <c r="B19" s="18"/>
      <c r="C19" s="18"/>
      <c r="D19" s="18"/>
      <c r="E19" s="39"/>
      <c r="F19" s="28"/>
      <c r="G19" s="40"/>
      <c r="H19" s="17"/>
      <c r="I19" s="17"/>
    </row>
    <row r="20" spans="1:12" s="17" customFormat="1" x14ac:dyDescent="0.2">
      <c r="A20" s="18"/>
      <c r="B20" s="18"/>
      <c r="C20" s="18"/>
      <c r="D20" s="18"/>
      <c r="E20" s="39"/>
      <c r="F20" s="28"/>
      <c r="G20" s="40"/>
    </row>
    <row r="21" spans="1:12" s="17" customFormat="1" x14ac:dyDescent="0.2">
      <c r="A21" s="18"/>
      <c r="B21" s="18"/>
      <c r="C21" s="18"/>
      <c r="D21" s="18"/>
      <c r="E21" s="39"/>
      <c r="F21" s="28"/>
      <c r="G21" s="40"/>
    </row>
    <row r="22" spans="1:12" s="17" customFormat="1" x14ac:dyDescent="0.2">
      <c r="A22" s="18"/>
      <c r="B22" s="18"/>
      <c r="C22" s="18"/>
      <c r="D22" s="18"/>
      <c r="E22" s="39"/>
      <c r="F22" s="28"/>
      <c r="G22" s="40"/>
    </row>
    <row r="23" spans="1:12" s="17" customFormat="1" x14ac:dyDescent="0.2">
      <c r="A23" s="18"/>
      <c r="B23" s="18"/>
      <c r="C23" s="18"/>
      <c r="D23" s="18"/>
      <c r="E23" s="39"/>
      <c r="F23" s="28"/>
      <c r="G23" s="40"/>
    </row>
    <row r="24" spans="1:12" s="17" customFormat="1" x14ac:dyDescent="0.2">
      <c r="A24" s="18"/>
      <c r="B24" s="18"/>
      <c r="C24" s="18"/>
      <c r="D24" s="18"/>
      <c r="E24" s="39"/>
      <c r="F24" s="28"/>
      <c r="G24" s="40"/>
    </row>
    <row r="25" spans="1:12" s="17" customFormat="1" x14ac:dyDescent="0.2">
      <c r="A25" s="18"/>
      <c r="B25" s="18"/>
      <c r="C25" s="18"/>
      <c r="D25" s="18"/>
      <c r="E25" s="39"/>
      <c r="F25" s="28"/>
      <c r="G25" s="40"/>
      <c r="K25" s="41"/>
      <c r="L25" s="41"/>
    </row>
    <row r="26" spans="1:12" s="17" customFormat="1" x14ac:dyDescent="0.2">
      <c r="A26" s="18"/>
      <c r="B26" s="18"/>
      <c r="C26" s="18"/>
      <c r="D26" s="18"/>
      <c r="E26" s="39"/>
      <c r="F26" s="28"/>
      <c r="G26" s="40"/>
      <c r="K26" s="41"/>
      <c r="L26" s="41"/>
    </row>
    <row r="27" spans="1:12" s="17" customFormat="1" x14ac:dyDescent="0.2">
      <c r="A27" s="18"/>
      <c r="B27" s="18"/>
      <c r="C27" s="18"/>
      <c r="D27" s="18"/>
      <c r="E27" s="39"/>
      <c r="F27" s="28"/>
      <c r="G27" s="40"/>
      <c r="K27" s="19"/>
      <c r="L27" s="19"/>
    </row>
    <row r="28" spans="1:12" s="17" customFormat="1" x14ac:dyDescent="0.2">
      <c r="A28" s="18"/>
      <c r="B28" s="18"/>
      <c r="C28" s="18"/>
      <c r="D28" s="18"/>
      <c r="E28" s="39"/>
      <c r="F28" s="28"/>
      <c r="G28" s="40"/>
      <c r="K28" s="19"/>
      <c r="L28" s="19"/>
    </row>
    <row r="29" spans="1:12" s="17" customFormat="1" x14ac:dyDescent="0.2">
      <c r="A29" s="18"/>
      <c r="B29" s="18"/>
      <c r="C29" s="18"/>
      <c r="D29" s="18"/>
      <c r="E29" s="39"/>
      <c r="F29" s="28"/>
      <c r="G29" s="40"/>
      <c r="K29" s="26"/>
      <c r="L29" s="19"/>
    </row>
    <row r="30" spans="1:12" s="17" customFormat="1" x14ac:dyDescent="0.2">
      <c r="A30" s="18"/>
      <c r="B30" s="18"/>
      <c r="C30" s="18"/>
      <c r="D30" s="18"/>
      <c r="E30" s="39"/>
      <c r="F30" s="28"/>
      <c r="G30" s="40"/>
      <c r="K30" s="32"/>
      <c r="L30" s="19"/>
    </row>
    <row r="31" spans="1:12" s="17" customFormat="1" x14ac:dyDescent="0.2">
      <c r="A31" s="18"/>
      <c r="B31" s="18"/>
      <c r="C31" s="18"/>
      <c r="D31" s="18"/>
      <c r="E31" s="18"/>
      <c r="F31" s="18"/>
      <c r="G31" s="18"/>
      <c r="K31" s="41"/>
      <c r="L31" s="41"/>
    </row>
    <row r="32" spans="1:12" s="17" customFormat="1" x14ac:dyDescent="0.2">
      <c r="A32" s="18"/>
      <c r="E32" s="42"/>
      <c r="F32" s="43"/>
      <c r="G32" s="40"/>
      <c r="K32" s="41"/>
      <c r="L32" s="41"/>
    </row>
    <row r="33" spans="1:7" s="17" customFormat="1" x14ac:dyDescent="0.2">
      <c r="A33" s="18"/>
      <c r="E33" s="42"/>
      <c r="F33" s="43"/>
      <c r="G33" s="40"/>
    </row>
    <row r="34" spans="1:7" s="17" customFormat="1" x14ac:dyDescent="0.2">
      <c r="A34" s="18"/>
      <c r="E34" s="42"/>
      <c r="F34" s="43"/>
      <c r="G34" s="40"/>
    </row>
    <row r="35" spans="1:7" s="17" customFormat="1" x14ac:dyDescent="0.2">
      <c r="A35" s="18"/>
      <c r="E35" s="42"/>
      <c r="F35" s="43"/>
      <c r="G35" s="40"/>
    </row>
    <row r="36" spans="1:7" s="17" customFormat="1" x14ac:dyDescent="0.2"/>
    <row r="37" spans="1:7" s="17" customFormat="1" x14ac:dyDescent="0.2">
      <c r="A37" s="18"/>
      <c r="E37" s="42"/>
      <c r="F37" s="43"/>
      <c r="G37" s="40"/>
    </row>
    <row r="38" spans="1:7" s="17" customFormat="1" x14ac:dyDescent="0.2">
      <c r="A38" s="18"/>
      <c r="E38" s="42"/>
      <c r="F38" s="43"/>
      <c r="G38" s="40"/>
    </row>
    <row r="39" spans="1:7" s="17" customFormat="1" x14ac:dyDescent="0.2">
      <c r="A39" s="18"/>
      <c r="E39" s="42"/>
      <c r="F39" s="43"/>
      <c r="G39" s="40"/>
    </row>
    <row r="40" spans="1:7" s="17" customFormat="1" x14ac:dyDescent="0.2">
      <c r="A40" s="18"/>
      <c r="E40" s="42"/>
      <c r="F40" s="43"/>
      <c r="G40" s="40"/>
    </row>
    <row r="41" spans="1:7" s="17" customFormat="1" x14ac:dyDescent="0.2">
      <c r="A41" s="18"/>
      <c r="E41" s="42"/>
      <c r="F41" s="43"/>
      <c r="G41" s="40"/>
    </row>
    <row r="42" spans="1:7" s="17" customFormat="1" x14ac:dyDescent="0.2">
      <c r="A42" s="18"/>
      <c r="E42" s="42"/>
      <c r="F42" s="43"/>
      <c r="G42" s="40"/>
    </row>
    <row r="43" spans="1:7" s="17" customFormat="1" x14ac:dyDescent="0.2">
      <c r="A43" s="18"/>
      <c r="E43" s="42"/>
      <c r="F43" s="43"/>
      <c r="G43" s="40"/>
    </row>
    <row r="44" spans="1:7" s="17" customFormat="1" x14ac:dyDescent="0.2">
      <c r="A44" s="18"/>
      <c r="E44" s="42"/>
      <c r="F44" s="43"/>
      <c r="G44" s="40"/>
    </row>
  </sheetData>
  <mergeCells count="2">
    <mergeCell ref="B3:C3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FA7F-E95A-9D44-8790-4152984361A6}">
  <dimension ref="A3:L22"/>
  <sheetViews>
    <sheetView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2" x14ac:dyDescent="0.2">
      <c r="A3" s="12" t="s">
        <v>18</v>
      </c>
      <c r="B3" s="44" t="s">
        <v>51</v>
      </c>
      <c r="C3" s="44"/>
      <c r="E3" s="13" t="s">
        <v>26</v>
      </c>
      <c r="F3" s="32">
        <v>10</v>
      </c>
      <c r="H3" t="s">
        <v>20</v>
      </c>
      <c r="I3" s="34">
        <v>0.498</v>
      </c>
      <c r="J3" t="s">
        <v>8</v>
      </c>
      <c r="K3" s="34">
        <v>5.2999999999999999E-2</v>
      </c>
    </row>
    <row r="4" spans="1:12" x14ac:dyDescent="0.2">
      <c r="A4" s="15" t="s">
        <v>19</v>
      </c>
      <c r="B4" s="44"/>
      <c r="C4" s="44"/>
      <c r="E4" s="7" t="s">
        <v>10</v>
      </c>
      <c r="F4" s="32">
        <v>0.01</v>
      </c>
      <c r="G4" s="8"/>
      <c r="H4" t="s">
        <v>21</v>
      </c>
      <c r="I4" s="34">
        <v>0.499</v>
      </c>
      <c r="J4" t="s">
        <v>9</v>
      </c>
      <c r="K4" s="34">
        <v>0.105</v>
      </c>
    </row>
    <row r="5" spans="1:12" x14ac:dyDescent="0.2">
      <c r="A5" s="15" t="s">
        <v>7</v>
      </c>
      <c r="B5" s="45">
        <v>42207</v>
      </c>
      <c r="C5" s="44"/>
      <c r="E5" s="7" t="s">
        <v>25</v>
      </c>
      <c r="F5" s="33">
        <f>AVERAGE(I3:I6)</f>
        <v>0.4985</v>
      </c>
      <c r="G5" s="8"/>
      <c r="H5" t="s">
        <v>22</v>
      </c>
      <c r="I5" s="34">
        <v>0.4985</v>
      </c>
      <c r="K5" s="17"/>
    </row>
    <row r="6" spans="1:12" x14ac:dyDescent="0.2">
      <c r="A6" s="14" t="s">
        <v>0</v>
      </c>
      <c r="B6" s="44"/>
      <c r="C6" s="44"/>
      <c r="E6" s="24" t="s">
        <v>24</v>
      </c>
      <c r="F6" s="33">
        <f>K4-K3</f>
        <v>5.1999999999999998E-2</v>
      </c>
      <c r="G6" s="25"/>
      <c r="H6" t="s">
        <v>23</v>
      </c>
      <c r="I6" s="34"/>
    </row>
    <row r="7" spans="1:12" x14ac:dyDescent="0.2">
      <c r="A7" s="12"/>
      <c r="B7" s="12"/>
      <c r="C7" s="12"/>
      <c r="D7" s="12"/>
      <c r="E7" s="12"/>
      <c r="F7" s="14"/>
      <c r="G7" s="14"/>
      <c r="H7" s="22"/>
      <c r="I7" s="23"/>
    </row>
    <row r="8" spans="1:12" x14ac:dyDescent="0.2">
      <c r="G8" s="1"/>
      <c r="H8" s="1"/>
      <c r="I8" s="2"/>
    </row>
    <row r="9" spans="1:12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6" t="s">
        <v>13</v>
      </c>
      <c r="H9" s="47"/>
      <c r="I9" s="5" t="s">
        <v>4</v>
      </c>
      <c r="J9" s="5"/>
    </row>
    <row r="10" spans="1:12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2" ht="16" thickTop="1" x14ac:dyDescent="0.2">
      <c r="A11" s="18" t="s">
        <v>40</v>
      </c>
      <c r="B11" s="38" t="s">
        <v>41</v>
      </c>
      <c r="C11" s="38">
        <v>2890</v>
      </c>
      <c r="D11" s="38">
        <v>73</v>
      </c>
      <c r="E11" s="30">
        <v>128.36000000000001</v>
      </c>
      <c r="F11" s="31">
        <v>0.22750000000000001</v>
      </c>
      <c r="G11" s="29">
        <f t="shared" ref="G11:G21" si="0">(((((F11-$F$6)*$F$3*$F$4*5598)/($F$5-$F$6))-1000*0.0017)/(E11-2))</f>
        <v>1.7278677640130919</v>
      </c>
      <c r="H11" s="17"/>
      <c r="I11" s="17"/>
    </row>
    <row r="12" spans="1:12" x14ac:dyDescent="0.2">
      <c r="A12" s="18" t="s">
        <v>40</v>
      </c>
      <c r="B12" s="38" t="s">
        <v>42</v>
      </c>
      <c r="C12" s="38">
        <v>2798</v>
      </c>
      <c r="D12" s="38">
        <v>74</v>
      </c>
      <c r="E12" s="30">
        <v>140.58000000000001</v>
      </c>
      <c r="F12" s="31">
        <v>0.2555</v>
      </c>
      <c r="G12" s="29">
        <f t="shared" si="0"/>
        <v>1.8288238552058258</v>
      </c>
      <c r="H12" s="17"/>
      <c r="I12" s="17"/>
    </row>
    <row r="13" spans="1:12" x14ac:dyDescent="0.2">
      <c r="A13" s="18" t="s">
        <v>40</v>
      </c>
      <c r="B13" s="38" t="s">
        <v>43</v>
      </c>
      <c r="C13" s="38">
        <v>2598</v>
      </c>
      <c r="D13" s="38">
        <v>75</v>
      </c>
      <c r="E13" s="30">
        <v>132.54</v>
      </c>
      <c r="F13" s="31">
        <v>0.23849999999999999</v>
      </c>
      <c r="G13" s="29">
        <f t="shared" si="0"/>
        <v>1.778187804950442</v>
      </c>
      <c r="H13" s="17"/>
      <c r="I13" s="17"/>
    </row>
    <row r="14" spans="1:12" x14ac:dyDescent="0.2">
      <c r="A14" s="18" t="s">
        <v>40</v>
      </c>
      <c r="B14" s="38" t="s">
        <v>38</v>
      </c>
      <c r="C14" s="38">
        <v>2698</v>
      </c>
      <c r="D14" s="38">
        <v>76</v>
      </c>
      <c r="E14" s="30">
        <v>143.72999999999999</v>
      </c>
      <c r="F14" s="31">
        <v>0.26750000000000002</v>
      </c>
      <c r="G14" s="29">
        <f t="shared" si="0"/>
        <v>1.8943302522524219</v>
      </c>
      <c r="H14" s="17"/>
      <c r="I14" s="17"/>
    </row>
    <row r="15" spans="1:12" x14ac:dyDescent="0.2">
      <c r="A15" s="18"/>
      <c r="B15" s="18"/>
      <c r="C15" s="18"/>
      <c r="D15" s="18"/>
      <c r="E15" s="39"/>
      <c r="F15" s="28"/>
      <c r="G15" s="40"/>
    </row>
    <row r="16" spans="1:12" x14ac:dyDescent="0.2">
      <c r="A16" s="18" t="s">
        <v>44</v>
      </c>
      <c r="B16" s="38">
        <v>4</v>
      </c>
      <c r="C16" s="38">
        <v>2895</v>
      </c>
      <c r="D16" s="38">
        <v>77</v>
      </c>
      <c r="E16" s="30">
        <v>134</v>
      </c>
      <c r="F16" s="31">
        <v>0.23699999999999999</v>
      </c>
      <c r="G16" s="29">
        <f t="shared" si="0"/>
        <v>1.7442727951406565</v>
      </c>
      <c r="K16" s="21"/>
      <c r="L16" s="21"/>
    </row>
    <row r="17" spans="1:12" x14ac:dyDescent="0.2">
      <c r="A17" s="18" t="s">
        <v>44</v>
      </c>
      <c r="B17" s="38">
        <v>6</v>
      </c>
      <c r="C17" s="38">
        <v>2800</v>
      </c>
      <c r="D17" s="38">
        <v>78</v>
      </c>
      <c r="E17" s="30">
        <v>143.05000000000001</v>
      </c>
      <c r="F17" s="31">
        <v>0.25600000000000001</v>
      </c>
      <c r="G17" s="29">
        <f t="shared" si="0"/>
        <v>1.8012427192790592</v>
      </c>
      <c r="K17" s="21"/>
      <c r="L17" s="21"/>
    </row>
    <row r="18" spans="1:12" x14ac:dyDescent="0.2">
      <c r="A18" s="18" t="s">
        <v>44</v>
      </c>
      <c r="B18" s="38">
        <v>9</v>
      </c>
      <c r="C18" s="38">
        <v>2600</v>
      </c>
      <c r="D18" s="38">
        <v>79</v>
      </c>
      <c r="E18" s="30">
        <v>140.31</v>
      </c>
      <c r="F18" s="31">
        <v>0.2455</v>
      </c>
      <c r="G18" s="29">
        <f t="shared" si="0"/>
        <v>1.741746047694765</v>
      </c>
      <c r="K18" s="20"/>
      <c r="L18" s="20"/>
    </row>
    <row r="19" spans="1:12" x14ac:dyDescent="0.2">
      <c r="A19" s="18" t="s">
        <v>44</v>
      </c>
      <c r="B19" s="38">
        <v>10</v>
      </c>
      <c r="C19" s="38">
        <v>2400</v>
      </c>
      <c r="D19" s="38">
        <v>80</v>
      </c>
      <c r="E19" s="30">
        <v>130.57</v>
      </c>
      <c r="F19" s="31">
        <v>0.219</v>
      </c>
      <c r="G19" s="29">
        <f t="shared" si="0"/>
        <v>1.6152794879256283</v>
      </c>
      <c r="K19" s="19"/>
      <c r="L19" s="20"/>
    </row>
    <row r="20" spans="1:12" x14ac:dyDescent="0.2">
      <c r="A20" s="18" t="s">
        <v>44</v>
      </c>
      <c r="B20" s="38">
        <v>12</v>
      </c>
      <c r="C20" s="38">
        <v>40</v>
      </c>
      <c r="D20" s="38">
        <v>81</v>
      </c>
      <c r="E20" s="30">
        <v>131.88999999999999</v>
      </c>
      <c r="F20" s="31">
        <v>0.63370000000000004</v>
      </c>
      <c r="G20" s="29">
        <f t="shared" si="0"/>
        <v>5.6017182943238124</v>
      </c>
      <c r="K20" s="26"/>
      <c r="L20" s="20"/>
    </row>
    <row r="21" spans="1:12" x14ac:dyDescent="0.2">
      <c r="A21" s="18" t="s">
        <v>44</v>
      </c>
      <c r="B21" s="38">
        <v>14</v>
      </c>
      <c r="C21" s="38">
        <v>10</v>
      </c>
      <c r="D21" s="38">
        <v>82</v>
      </c>
      <c r="E21" s="30">
        <v>137.07</v>
      </c>
      <c r="F21" s="31">
        <v>0.70750000000000002</v>
      </c>
      <c r="G21" s="29">
        <f t="shared" si="0"/>
        <v>6.0719185796490081</v>
      </c>
      <c r="K21" s="27"/>
      <c r="L21" s="20"/>
    </row>
    <row r="22" spans="1:12" x14ac:dyDescent="0.2">
      <c r="A22" s="18"/>
      <c r="B22" s="18"/>
      <c r="C22" s="18"/>
      <c r="D22" s="18"/>
      <c r="E22" s="18"/>
      <c r="F22" s="18"/>
      <c r="G22" s="18"/>
      <c r="K22" s="21"/>
      <c r="L22" s="21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AE3B-CBFD-4345-9FE9-1859E83C32F0}">
  <dimension ref="A3:L23"/>
  <sheetViews>
    <sheetView workbookViewId="0"/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3" spans="1:12" x14ac:dyDescent="0.2">
      <c r="A3" s="12" t="s">
        <v>18</v>
      </c>
      <c r="B3" s="44" t="s">
        <v>51</v>
      </c>
      <c r="C3" s="44"/>
      <c r="E3" s="13" t="s">
        <v>26</v>
      </c>
      <c r="F3" s="32">
        <v>10</v>
      </c>
      <c r="H3" t="s">
        <v>20</v>
      </c>
      <c r="I3" s="34">
        <v>0.502</v>
      </c>
      <c r="J3" t="s">
        <v>8</v>
      </c>
      <c r="K3" s="34">
        <v>0.05</v>
      </c>
    </row>
    <row r="4" spans="1:12" x14ac:dyDescent="0.2">
      <c r="A4" s="15" t="s">
        <v>19</v>
      </c>
      <c r="B4" s="44"/>
      <c r="C4" s="44"/>
      <c r="E4" s="7" t="s">
        <v>10</v>
      </c>
      <c r="F4" s="32">
        <v>0.01</v>
      </c>
      <c r="G4" s="8"/>
      <c r="H4" t="s">
        <v>21</v>
      </c>
      <c r="I4" s="34">
        <v>0.503</v>
      </c>
      <c r="J4" t="s">
        <v>9</v>
      </c>
      <c r="K4" s="34">
        <v>9.9500000000000005E-2</v>
      </c>
    </row>
    <row r="5" spans="1:12" x14ac:dyDescent="0.2">
      <c r="A5" s="15" t="s">
        <v>7</v>
      </c>
      <c r="B5" s="45">
        <v>42209</v>
      </c>
      <c r="C5" s="44"/>
      <c r="E5" s="7" t="s">
        <v>25</v>
      </c>
      <c r="F5" s="33">
        <f>AVERAGE(I3:I6)</f>
        <v>0.50266666666666671</v>
      </c>
      <c r="G5" s="8"/>
      <c r="H5" t="s">
        <v>22</v>
      </c>
      <c r="I5" s="34">
        <v>0.503</v>
      </c>
      <c r="K5" s="17"/>
    </row>
    <row r="6" spans="1:12" x14ac:dyDescent="0.2">
      <c r="A6" s="14" t="s">
        <v>0</v>
      </c>
      <c r="B6" s="44"/>
      <c r="C6" s="44"/>
      <c r="E6" s="24" t="s">
        <v>24</v>
      </c>
      <c r="F6" s="33">
        <f>K4-K3</f>
        <v>4.9500000000000002E-2</v>
      </c>
      <c r="G6" s="25"/>
      <c r="H6" t="s">
        <v>23</v>
      </c>
      <c r="I6" s="34"/>
    </row>
    <row r="7" spans="1:12" x14ac:dyDescent="0.2">
      <c r="A7" s="12"/>
      <c r="B7" s="12"/>
      <c r="C7" s="12"/>
      <c r="D7" s="12"/>
      <c r="E7" s="12"/>
      <c r="F7" s="14"/>
      <c r="G7" s="14"/>
      <c r="H7" s="22"/>
      <c r="I7" s="23"/>
    </row>
    <row r="8" spans="1:12" x14ac:dyDescent="0.2">
      <c r="G8" s="1"/>
      <c r="H8" s="1"/>
      <c r="I8" s="2"/>
    </row>
    <row r="9" spans="1:12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6" t="s">
        <v>13</v>
      </c>
      <c r="H9" s="47"/>
      <c r="I9" s="5" t="s">
        <v>4</v>
      </c>
      <c r="J9" s="5"/>
    </row>
    <row r="10" spans="1:12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2" ht="16" thickTop="1" x14ac:dyDescent="0.2">
      <c r="A11" s="18" t="s">
        <v>45</v>
      </c>
      <c r="B11" s="38" t="s">
        <v>41</v>
      </c>
      <c r="C11" s="38">
        <v>574</v>
      </c>
      <c r="D11" s="38">
        <v>73</v>
      </c>
      <c r="E11" s="30">
        <v>128.36000000000001</v>
      </c>
      <c r="F11" s="31">
        <v>7.2499999999999995E-2</v>
      </c>
      <c r="G11" s="29">
        <f t="shared" ref="G11:G23" si="0">(((((F11-$F$6)*$F$3*$F$4*5598)/($F$5-$F$6))-1000*0.0017)/(E11-2))</f>
        <v>0.21139651201765533</v>
      </c>
      <c r="K11" s="21"/>
      <c r="L11" s="21"/>
    </row>
    <row r="12" spans="1:12" x14ac:dyDescent="0.2">
      <c r="A12" s="18" t="s">
        <v>45</v>
      </c>
      <c r="B12" s="38" t="s">
        <v>42</v>
      </c>
      <c r="C12" s="38">
        <v>501</v>
      </c>
      <c r="D12" s="38">
        <v>74</v>
      </c>
      <c r="E12" s="30">
        <v>140.58000000000001</v>
      </c>
      <c r="F12" s="31">
        <v>0.1045</v>
      </c>
      <c r="G12" s="29">
        <f t="shared" si="0"/>
        <v>0.47800469332430845</v>
      </c>
    </row>
    <row r="13" spans="1:12" x14ac:dyDescent="0.2">
      <c r="A13" s="18" t="s">
        <v>45</v>
      </c>
      <c r="B13" s="38" t="s">
        <v>43</v>
      </c>
      <c r="C13" s="38">
        <v>450</v>
      </c>
      <c r="D13" s="38">
        <v>75</v>
      </c>
      <c r="E13" s="30">
        <v>132.54</v>
      </c>
      <c r="F13" s="31">
        <v>0.1205</v>
      </c>
      <c r="G13" s="29">
        <f t="shared" si="0"/>
        <v>0.65885402154166184</v>
      </c>
    </row>
    <row r="14" spans="1:12" x14ac:dyDescent="0.2">
      <c r="A14" s="18" t="s">
        <v>45</v>
      </c>
      <c r="B14" s="38" t="s">
        <v>38</v>
      </c>
      <c r="C14" s="38">
        <v>399</v>
      </c>
      <c r="D14" s="38">
        <v>76</v>
      </c>
      <c r="E14" s="30">
        <v>143.72999999999999</v>
      </c>
      <c r="F14" s="31">
        <v>0.16</v>
      </c>
      <c r="G14" s="29">
        <f t="shared" si="0"/>
        <v>0.95111433253978905</v>
      </c>
    </row>
    <row r="15" spans="1:12" x14ac:dyDescent="0.2">
      <c r="A15" s="38"/>
      <c r="B15" s="38"/>
      <c r="C15" s="38"/>
      <c r="D15" s="38"/>
      <c r="E15" s="38"/>
      <c r="F15" s="38"/>
      <c r="G15" s="38"/>
    </row>
    <row r="16" spans="1:12" x14ac:dyDescent="0.2">
      <c r="A16" s="18" t="s">
        <v>46</v>
      </c>
      <c r="B16" s="38">
        <v>3</v>
      </c>
      <c r="C16" s="38">
        <v>500</v>
      </c>
      <c r="D16" s="38">
        <v>77</v>
      </c>
      <c r="E16" s="30">
        <v>134</v>
      </c>
      <c r="F16" s="31">
        <v>9.5000000000000001E-2</v>
      </c>
      <c r="G16" s="29">
        <f t="shared" si="0"/>
        <v>0.41292782551517365</v>
      </c>
    </row>
    <row r="17" spans="1:7" x14ac:dyDescent="0.2">
      <c r="A17" s="18" t="s">
        <v>46</v>
      </c>
      <c r="B17" s="38">
        <v>5</v>
      </c>
      <c r="C17" s="38">
        <v>450</v>
      </c>
      <c r="D17" s="38">
        <v>78</v>
      </c>
      <c r="E17" s="30">
        <v>143.05000000000001</v>
      </c>
      <c r="F17" s="31">
        <v>0.1265</v>
      </c>
      <c r="G17" s="29">
        <f t="shared" si="0"/>
        <v>0.66230873138061497</v>
      </c>
    </row>
    <row r="18" spans="1:7" x14ac:dyDescent="0.2">
      <c r="A18" s="18" t="s">
        <v>46</v>
      </c>
      <c r="B18" s="38">
        <v>7</v>
      </c>
      <c r="C18" s="38">
        <v>400</v>
      </c>
      <c r="D18" s="38">
        <v>79</v>
      </c>
      <c r="E18" s="30">
        <v>140.31</v>
      </c>
      <c r="F18" s="31">
        <v>0.159</v>
      </c>
      <c r="G18" s="29">
        <f t="shared" si="0"/>
        <v>0.96570115864844486</v>
      </c>
    </row>
    <row r="19" spans="1:7" x14ac:dyDescent="0.2">
      <c r="A19" s="18" t="s">
        <v>46</v>
      </c>
      <c r="B19" s="38">
        <v>11</v>
      </c>
      <c r="C19" s="38">
        <v>200</v>
      </c>
      <c r="D19" s="38">
        <v>80</v>
      </c>
      <c r="E19" s="30">
        <v>130.57</v>
      </c>
      <c r="F19" s="31">
        <v>0.27250000000000002</v>
      </c>
      <c r="G19" s="29">
        <f t="shared" si="0"/>
        <v>2.1293729711295351</v>
      </c>
    </row>
    <row r="20" spans="1:7" x14ac:dyDescent="0.2">
      <c r="A20" s="18" t="s">
        <v>46</v>
      </c>
      <c r="B20" s="38">
        <v>13</v>
      </c>
      <c r="C20" s="38">
        <v>100</v>
      </c>
      <c r="D20" s="38">
        <v>81</v>
      </c>
      <c r="E20" s="30">
        <v>131.88999999999999</v>
      </c>
      <c r="F20" s="31">
        <v>0.41149999999999998</v>
      </c>
      <c r="G20" s="29">
        <f t="shared" si="0"/>
        <v>3.4296802644362758</v>
      </c>
    </row>
    <row r="21" spans="1:7" x14ac:dyDescent="0.2">
      <c r="A21" s="18" t="s">
        <v>46</v>
      </c>
      <c r="B21" s="38">
        <v>15</v>
      </c>
      <c r="C21" s="38">
        <v>40</v>
      </c>
      <c r="D21" s="38">
        <v>82</v>
      </c>
      <c r="E21" s="30">
        <v>137.07</v>
      </c>
      <c r="F21" s="31">
        <v>0.51949999999999996</v>
      </c>
      <c r="G21" s="29">
        <f t="shared" si="0"/>
        <v>4.2858838835640576</v>
      </c>
    </row>
    <row r="22" spans="1:7" x14ac:dyDescent="0.2">
      <c r="A22" s="18" t="s">
        <v>46</v>
      </c>
      <c r="B22" s="38">
        <v>17</v>
      </c>
      <c r="C22" s="38">
        <v>20</v>
      </c>
      <c r="D22" s="38">
        <v>83</v>
      </c>
      <c r="E22" s="30">
        <v>139.85</v>
      </c>
      <c r="F22" s="31">
        <v>0.61399999999999999</v>
      </c>
      <c r="G22" s="29">
        <f t="shared" si="0"/>
        <v>5.046288407201275</v>
      </c>
    </row>
    <row r="23" spans="1:7" x14ac:dyDescent="0.2">
      <c r="A23" s="18" t="s">
        <v>46</v>
      </c>
      <c r="B23" s="38">
        <v>18</v>
      </c>
      <c r="C23" s="38">
        <v>20</v>
      </c>
      <c r="D23" s="38">
        <v>84</v>
      </c>
      <c r="E23" s="30">
        <v>131.66</v>
      </c>
      <c r="F23" s="31">
        <v>0.57750000000000001</v>
      </c>
      <c r="G23" s="29">
        <f t="shared" si="0"/>
        <v>5.0172925177269292</v>
      </c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B7E8-A79C-C045-8C65-7DF5020B7161}">
  <dimension ref="A3:K20"/>
  <sheetViews>
    <sheetView workbookViewId="0"/>
  </sheetViews>
  <sheetFormatPr baseColWidth="10" defaultRowHeight="15" x14ac:dyDescent="0.2"/>
  <cols>
    <col min="5" max="5" width="16.6640625" bestFit="1" customWidth="1"/>
  </cols>
  <sheetData>
    <row r="3" spans="1:11" x14ac:dyDescent="0.2">
      <c r="A3" s="12" t="s">
        <v>18</v>
      </c>
      <c r="B3" s="44" t="s">
        <v>51</v>
      </c>
      <c r="C3" s="44"/>
      <c r="E3" s="13" t="s">
        <v>26</v>
      </c>
      <c r="F3" s="32">
        <v>10</v>
      </c>
      <c r="H3" t="s">
        <v>20</v>
      </c>
      <c r="I3" s="34">
        <v>0.5</v>
      </c>
      <c r="J3" t="s">
        <v>8</v>
      </c>
      <c r="K3" s="34">
        <v>5.0500000000000003E-2</v>
      </c>
    </row>
    <row r="4" spans="1:11" x14ac:dyDescent="0.2">
      <c r="A4" s="15" t="s">
        <v>19</v>
      </c>
      <c r="B4" s="44"/>
      <c r="C4" s="44"/>
      <c r="E4" s="7" t="s">
        <v>10</v>
      </c>
      <c r="F4" s="32">
        <v>0.01</v>
      </c>
      <c r="G4" s="8"/>
      <c r="H4" t="s">
        <v>21</v>
      </c>
      <c r="I4" s="34">
        <v>0.5</v>
      </c>
      <c r="J4" t="s">
        <v>9</v>
      </c>
      <c r="K4" s="34">
        <v>0.10199999999999999</v>
      </c>
    </row>
    <row r="5" spans="1:11" x14ac:dyDescent="0.2">
      <c r="A5" s="15" t="s">
        <v>7</v>
      </c>
      <c r="B5" s="45">
        <v>42213</v>
      </c>
      <c r="C5" s="44"/>
      <c r="E5" s="7" t="s">
        <v>25</v>
      </c>
      <c r="F5" s="33">
        <f>AVERAGE(I3:I6)</f>
        <v>0.50049999999999994</v>
      </c>
      <c r="G5" s="8"/>
      <c r="H5" t="s">
        <v>22</v>
      </c>
      <c r="I5" s="34">
        <v>0.50149999999999995</v>
      </c>
      <c r="K5" s="17"/>
    </row>
    <row r="6" spans="1:11" x14ac:dyDescent="0.2">
      <c r="A6" s="14" t="s">
        <v>0</v>
      </c>
      <c r="B6" s="44"/>
      <c r="C6" s="44"/>
      <c r="E6" s="24" t="s">
        <v>24</v>
      </c>
      <c r="F6" s="33">
        <f>K4-K3</f>
        <v>5.149999999999999E-2</v>
      </c>
      <c r="G6" s="25"/>
      <c r="H6" t="s">
        <v>23</v>
      </c>
      <c r="I6" s="34">
        <v>0.50049999999999994</v>
      </c>
    </row>
    <row r="7" spans="1:11" x14ac:dyDescent="0.2">
      <c r="A7" s="12"/>
      <c r="B7" s="12"/>
      <c r="C7" s="12"/>
      <c r="D7" s="12"/>
      <c r="E7" s="12"/>
      <c r="F7" s="14"/>
      <c r="G7" s="14"/>
      <c r="H7" s="22"/>
      <c r="I7" s="23"/>
    </row>
    <row r="8" spans="1:11" x14ac:dyDescent="0.2">
      <c r="G8" s="1"/>
      <c r="H8" s="1"/>
      <c r="I8" s="2"/>
    </row>
    <row r="9" spans="1:11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6" t="s">
        <v>13</v>
      </c>
      <c r="H9" s="47"/>
      <c r="I9" s="5" t="s">
        <v>4</v>
      </c>
      <c r="J9" s="5"/>
    </row>
    <row r="10" spans="1:11" ht="16" thickBot="1" x14ac:dyDescent="0.25">
      <c r="A10" s="10" t="s">
        <v>16</v>
      </c>
      <c r="B10" s="10" t="s">
        <v>14</v>
      </c>
      <c r="C10" s="10" t="s">
        <v>11</v>
      </c>
      <c r="D10" s="10"/>
      <c r="E10" s="10" t="s">
        <v>5</v>
      </c>
      <c r="F10" s="11" t="s">
        <v>5</v>
      </c>
      <c r="G10" s="9" t="s">
        <v>6</v>
      </c>
      <c r="H10" s="6"/>
    </row>
    <row r="11" spans="1:11" ht="16" thickTop="1" x14ac:dyDescent="0.2">
      <c r="A11" s="35" t="s">
        <v>47</v>
      </c>
      <c r="B11" s="35" t="s">
        <v>42</v>
      </c>
      <c r="C11" s="35">
        <v>2491</v>
      </c>
      <c r="D11" s="35">
        <v>81</v>
      </c>
      <c r="E11" s="30">
        <v>131.88999999999999</v>
      </c>
      <c r="F11" s="31">
        <v>0.20649999999999999</v>
      </c>
      <c r="G11" s="29">
        <f>(((((F11-$F$6)*$F$3*$F$4*5598)/($F$5-$F$6))-1000*0.0017)/(E11-2))</f>
        <v>1.4747050828172068</v>
      </c>
    </row>
    <row r="12" spans="1:11" x14ac:dyDescent="0.2">
      <c r="A12" s="35" t="s">
        <v>47</v>
      </c>
      <c r="B12" s="35" t="s">
        <v>48</v>
      </c>
      <c r="C12" s="35">
        <v>2401</v>
      </c>
      <c r="D12" s="35">
        <v>82</v>
      </c>
      <c r="E12" s="30">
        <v>137.07</v>
      </c>
      <c r="F12" s="31">
        <v>0.20849999999999999</v>
      </c>
      <c r="G12" s="29">
        <f>(((((F12-$F$6)*$F$3*$F$4*5598)/($F$5-$F$6))-1000*0.0017)/(E12-2))</f>
        <v>1.436610530908415</v>
      </c>
      <c r="H12" s="17"/>
      <c r="I12" s="17"/>
    </row>
    <row r="13" spans="1:11" x14ac:dyDescent="0.2">
      <c r="A13" s="18"/>
      <c r="B13" s="18"/>
      <c r="C13" s="18"/>
      <c r="D13" s="18"/>
      <c r="E13" s="39"/>
      <c r="F13" s="28"/>
      <c r="G13" s="40"/>
      <c r="H13" s="17"/>
      <c r="I13" s="17"/>
    </row>
    <row r="14" spans="1:11" x14ac:dyDescent="0.2">
      <c r="A14" s="18" t="s">
        <v>49</v>
      </c>
      <c r="B14" s="35">
        <v>4</v>
      </c>
      <c r="C14" s="35">
        <v>2500</v>
      </c>
      <c r="D14" s="35">
        <v>73</v>
      </c>
      <c r="E14" s="30">
        <v>128.36000000000001</v>
      </c>
      <c r="F14" s="31">
        <v>0.19700000000000001</v>
      </c>
      <c r="G14" s="29">
        <f>(((((F14-$F$6)*$F$3*$F$4*5598)/($F$5-$F$6))-1000*0.0017)/(E14-2))</f>
        <v>1.4221677943528972</v>
      </c>
      <c r="H14" s="17"/>
      <c r="I14" s="17"/>
    </row>
    <row r="15" spans="1:11" x14ac:dyDescent="0.2">
      <c r="A15" s="18" t="s">
        <v>49</v>
      </c>
      <c r="B15" s="35">
        <v>5</v>
      </c>
      <c r="C15" s="35">
        <v>2500</v>
      </c>
      <c r="D15" s="35">
        <v>74</v>
      </c>
      <c r="E15" s="30">
        <v>140.58000000000001</v>
      </c>
      <c r="F15" s="31">
        <v>0.2145</v>
      </c>
      <c r="G15" s="29">
        <f t="shared" ref="G15:G20" si="0">(((((F15-$F$6)*$F$3*$F$4*5598)/($F$5-$F$6))-1000*0.0017)/(E15-2))</f>
        <v>1.4542041277083086</v>
      </c>
      <c r="H15" s="17"/>
      <c r="I15" s="17"/>
    </row>
    <row r="16" spans="1:11" x14ac:dyDescent="0.2">
      <c r="A16" s="18" t="s">
        <v>49</v>
      </c>
      <c r="B16" s="35">
        <v>12</v>
      </c>
      <c r="C16" s="35">
        <v>60</v>
      </c>
      <c r="D16" s="35">
        <v>75</v>
      </c>
      <c r="E16" s="30">
        <v>132.54</v>
      </c>
      <c r="F16" s="31">
        <v>0.77200000000000002</v>
      </c>
      <c r="G16" s="29">
        <f t="shared" si="0"/>
        <v>6.8683791808089962</v>
      </c>
      <c r="H16" s="17"/>
      <c r="I16" s="17"/>
    </row>
    <row r="17" spans="1:9" x14ac:dyDescent="0.2">
      <c r="A17" s="18" t="s">
        <v>49</v>
      </c>
      <c r="B17" s="35">
        <v>13</v>
      </c>
      <c r="C17" s="35">
        <v>60</v>
      </c>
      <c r="D17" s="35">
        <v>76</v>
      </c>
      <c r="E17" s="30">
        <v>143.72999999999999</v>
      </c>
      <c r="F17" s="31">
        <v>0.83399999999999996</v>
      </c>
      <c r="G17" s="29">
        <f t="shared" si="0"/>
        <v>6.8715021205507449</v>
      </c>
      <c r="H17" s="17"/>
      <c r="I17" s="17"/>
    </row>
    <row r="18" spans="1:9" x14ac:dyDescent="0.2">
      <c r="A18" s="18" t="s">
        <v>49</v>
      </c>
      <c r="B18" s="35">
        <v>14</v>
      </c>
      <c r="C18" s="35">
        <v>40</v>
      </c>
      <c r="D18" s="35">
        <v>77</v>
      </c>
      <c r="E18" s="30">
        <v>134</v>
      </c>
      <c r="F18" s="31">
        <v>0.76249999999999996</v>
      </c>
      <c r="G18" s="29">
        <f t="shared" si="0"/>
        <v>6.7026810420462981</v>
      </c>
      <c r="H18" s="17"/>
      <c r="I18" s="17"/>
    </row>
    <row r="19" spans="1:9" x14ac:dyDescent="0.2">
      <c r="A19" s="18" t="s">
        <v>49</v>
      </c>
      <c r="B19" s="35">
        <v>15</v>
      </c>
      <c r="C19" s="35">
        <v>10</v>
      </c>
      <c r="D19" s="35">
        <v>78</v>
      </c>
      <c r="E19" s="30">
        <v>143.05000000000001</v>
      </c>
      <c r="F19" s="31">
        <v>0.70950000000000002</v>
      </c>
      <c r="G19" s="29">
        <f t="shared" si="0"/>
        <v>5.8041478601863679</v>
      </c>
    </row>
    <row r="20" spans="1:9" x14ac:dyDescent="0.2">
      <c r="A20" s="18" t="s">
        <v>49</v>
      </c>
      <c r="B20" s="35">
        <v>16</v>
      </c>
      <c r="C20" s="35">
        <v>10</v>
      </c>
      <c r="D20" s="35">
        <v>79</v>
      </c>
      <c r="E20" s="30">
        <v>140.31</v>
      </c>
      <c r="F20" s="31">
        <v>0.69399999999999995</v>
      </c>
      <c r="G20" s="29">
        <f t="shared" si="0"/>
        <v>5.7794093800779018</v>
      </c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cp:lastPrinted>2016-12-21T17:35:33Z</cp:lastPrinted>
  <dcterms:created xsi:type="dcterms:W3CDTF">2016-12-15T23:58:46Z</dcterms:created>
  <dcterms:modified xsi:type="dcterms:W3CDTF">2018-09-17T19:34:25Z</dcterms:modified>
</cp:coreProperties>
</file>